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vier/Documents/GitHub/etpe_project/data/raw_data/Nationally Determined Contributions/"/>
    </mc:Choice>
  </mc:AlternateContent>
  <xr:revisionPtr revIDLastSave="0" documentId="8_{03587005-07AD-7645-B6F5-410B20D5835E}" xr6:coauthVersionLast="47" xr6:coauthVersionMax="47" xr10:uidLastSave="{00000000-0000-0000-0000-000000000000}"/>
  <bookViews>
    <workbookView xWindow="3000" yWindow="1820" windowWidth="27240" windowHeight="16440" firstSheet="1" activeTab="1" xr2:uid="{C35650D6-110D-E34D-9770-A9436E4227A9}"/>
  </bookViews>
  <sheets>
    <sheet name="Global" sheetId="1" r:id="rId1"/>
    <sheet name="Country" sheetId="2" r:id="rId2"/>
  </sheets>
  <externalReferences>
    <externalReference r:id="rId3"/>
    <externalReference r:id="rId4"/>
  </externalReferences>
  <definedNames>
    <definedName name="bunkers">[1]global!$E$4</definedName>
    <definedName name="conditional_2030">'[2]2030 Summary'!$T$2</definedName>
    <definedName name="unconditional_2030">'[2]2030 Summary'!$S$2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Q5" i="2"/>
  <c r="O5" i="2"/>
  <c r="N5" i="2"/>
  <c r="R6" i="2"/>
  <c r="R3" i="2" s="1"/>
  <c r="Q6" i="2"/>
  <c r="Q3" i="2" s="1"/>
  <c r="O6" i="2"/>
  <c r="O3" i="2" s="1"/>
  <c r="N6" i="2"/>
  <c r="N3" i="2" l="1"/>
</calcChain>
</file>

<file path=xl/sharedStrings.xml><?xml version="1.0" encoding="utf-8"?>
<sst xmlns="http://schemas.openxmlformats.org/spreadsheetml/2006/main" count="810" uniqueCount="364">
  <si>
    <t>year</t>
  </si>
  <si>
    <t>Historical emissions</t>
  </si>
  <si>
    <t>2020 NDCs conditional</t>
  </si>
  <si>
    <t>2020 NDCs unconditional</t>
  </si>
  <si>
    <t>2025 NDCs conditional</t>
  </si>
  <si>
    <t>2025 NDCs unconditional</t>
  </si>
  <si>
    <t>2C Benchmark</t>
  </si>
  <si>
    <t>1.5C Benchmark</t>
  </si>
  <si>
    <t>NDC Target (economy-wide)</t>
  </si>
  <si>
    <t>NDC Target (filling conditionalities and no target with 2030 targets)</t>
  </si>
  <si>
    <t>NDC Target (filling conditionalities)</t>
  </si>
  <si>
    <t>GtCO2e</t>
  </si>
  <si>
    <t>Unconditional</t>
  </si>
  <si>
    <t>Conditional</t>
  </si>
  <si>
    <t>Country</t>
  </si>
  <si>
    <t>ISO</t>
  </si>
  <si>
    <t>Total Global Emissions</t>
  </si>
  <si>
    <t>Afghanistan</t>
  </si>
  <si>
    <t>AFG</t>
  </si>
  <si>
    <t/>
  </si>
  <si>
    <t>Angola</t>
  </si>
  <si>
    <t>AGO</t>
  </si>
  <si>
    <t>NDC</t>
  </si>
  <si>
    <t>Albania</t>
  </si>
  <si>
    <t>ALB</t>
  </si>
  <si>
    <t>International Bunkers</t>
  </si>
  <si>
    <t>Andorra</t>
  </si>
  <si>
    <t>AND</t>
  </si>
  <si>
    <t>Non-UNFCCC territorries</t>
  </si>
  <si>
    <t>United Arab Emirates</t>
  </si>
  <si>
    <t>ARE</t>
  </si>
  <si>
    <t>LULUCF Adjustment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</si>
  <si>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</si>
  <si>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</si>
  <si>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</si>
  <si>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</si>
  <si>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</si>
  <si>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</si>
  <si>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</si>
  <si>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</si>
  <si>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Azerbaijan</t>
  </si>
  <si>
    <t>AZE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</si>
  <si>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</si>
  <si>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</si>
  <si>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</si>
  <si>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</si>
  <si>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</si>
  <si>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</si>
  <si>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</si>
  <si>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</si>
  <si>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Bahrain</t>
  </si>
  <si>
    <t>BHR</t>
  </si>
  <si>
    <t>The 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</si>
  <si>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</si>
  <si>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</si>
  <si>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</si>
  <si>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</si>
  <si>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</si>
  <si>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</si>
  <si>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</si>
  <si>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</si>
  <si>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</si>
  <si>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</si>
  <si>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</si>
  <si>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</si>
  <si>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</si>
  <si>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</si>
  <si>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</si>
  <si>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</si>
  <si>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</si>
  <si>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</si>
  <si>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</si>
  <si>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</si>
  <si>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</si>
  <si>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</si>
  <si>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</si>
  <si>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</si>
  <si>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</si>
  <si>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</si>
  <si>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</si>
  <si>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</si>
  <si>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</si>
  <si>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Ivory Coast</t>
  </si>
  <si>
    <t>CIV</t>
  </si>
  <si>
    <t>Cameroon</t>
  </si>
  <si>
    <t>CMR</t>
  </si>
  <si>
    <t>Democratic Republic of the Congo</t>
  </si>
  <si>
    <t>COD</t>
  </si>
  <si>
    <t>Republic of Congo</t>
  </si>
  <si>
    <t>COG</t>
  </si>
  <si>
    <t>Cook Islands</t>
  </si>
  <si>
    <t>COK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</si>
  <si>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</si>
  <si>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</si>
  <si>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</si>
  <si>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</si>
  <si>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</si>
  <si>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</si>
  <si>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</si>
  <si>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</si>
  <si>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</si>
  <si>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</si>
  <si>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Djibouti</t>
  </si>
  <si>
    <t>DJI</t>
  </si>
  <si>
    <t>Dominica</t>
  </si>
  <si>
    <t>DMA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</si>
  <si>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</si>
  <si>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</si>
  <si>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</si>
  <si>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</si>
  <si>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</si>
  <si>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</si>
  <si>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</si>
  <si>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</si>
  <si>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</si>
  <si>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</si>
  <si>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Ethiopia</t>
  </si>
  <si>
    <t>ETH</t>
  </si>
  <si>
    <t>European Union (27)</t>
  </si>
  <si>
    <t>EUU</t>
  </si>
  <si>
    <t>Fiji</t>
  </si>
  <si>
    <t>FJI</t>
  </si>
  <si>
    <t>Federated States of Micronesia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</si>
  <si>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</si>
  <si>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</si>
  <si>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</si>
  <si>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</si>
  <si>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</si>
  <si>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</si>
  <si>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</si>
  <si>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</si>
  <si>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</si>
  <si>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</si>
  <si>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</si>
  <si>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</t>
  </si>
  <si>
    <t>GMB</t>
  </si>
  <si>
    <t>Guinea Bissau</t>
  </si>
  <si>
    <t>GNB</t>
  </si>
  <si>
    <t>Equatorial Guinea</t>
  </si>
  <si>
    <t>GNQ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</si>
  <si>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</si>
  <si>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</si>
  <si>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</si>
  <si>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</si>
  <si>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</si>
  <si>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</si>
  <si>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</si>
  <si>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</si>
  <si>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Haiti</t>
  </si>
  <si>
    <t>HTI</t>
  </si>
  <si>
    <t>Indonesia</t>
  </si>
  <si>
    <t>IDN</t>
  </si>
  <si>
    <t>India</t>
  </si>
  <si>
    <t>IND</t>
  </si>
  <si>
    <t>Iran</t>
  </si>
  <si>
    <t>IRN</t>
  </si>
  <si>
    <t>Iraq</t>
  </si>
  <si>
    <t>IRQ</t>
  </si>
  <si>
    <t>Iceland</t>
  </si>
  <si>
    <t>ISL</t>
  </si>
  <si>
    <t>Israel</t>
  </si>
  <si>
    <t>ISR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</si>
  <si>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</si>
  <si>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</si>
  <si>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</si>
  <si>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</si>
  <si>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</si>
  <si>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</si>
  <si>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</si>
  <si>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</si>
  <si>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</si>
  <si>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</si>
  <si>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</si>
  <si>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</si>
  <si>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</si>
  <si>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</si>
  <si>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</si>
  <si>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</si>
  <si>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Saint Kitts and Nevis</t>
  </si>
  <si>
    <t>KNA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</si>
  <si>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</si>
  <si>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</si>
  <si>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</si>
  <si>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</si>
  <si>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</si>
  <si>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</si>
  <si>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</si>
  <si>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</si>
  <si>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</si>
  <si>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</si>
  <si>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</si>
  <si>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</si>
  <si>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</si>
  <si>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</si>
  <si>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Liechtenstein</t>
  </si>
  <si>
    <t>LIE</t>
  </si>
  <si>
    <t>Sri Lanka</t>
  </si>
  <si>
    <t>LKA</t>
  </si>
  <si>
    <t>Lesotho</t>
  </si>
  <si>
    <t>LSO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</si>
  <si>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</si>
  <si>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</si>
  <si>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</si>
  <si>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</si>
  <si>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</si>
  <si>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</si>
  <si>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</si>
  <si>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</si>
  <si>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</si>
  <si>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</si>
  <si>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</si>
  <si>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</si>
  <si>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</si>
  <si>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</si>
  <si>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</si>
  <si>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</si>
  <si>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</si>
  <si>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</si>
  <si>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</si>
  <si>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</si>
  <si>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</si>
  <si>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</si>
  <si>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</si>
  <si>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</si>
  <si>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</si>
  <si>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</si>
  <si>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</si>
  <si>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</si>
  <si>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</si>
  <si>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</si>
  <si>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</si>
  <si>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</si>
  <si>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</si>
  <si>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</si>
  <si>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</si>
  <si>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</si>
  <si>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</si>
  <si>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</si>
  <si>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</si>
  <si>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</si>
  <si>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</si>
  <si>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</si>
  <si>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</si>
  <si>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</si>
  <si>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</si>
  <si>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</si>
  <si>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</si>
  <si>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</si>
  <si>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</si>
  <si>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</si>
  <si>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</si>
  <si>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</si>
  <si>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</si>
  <si>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</si>
  <si>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</si>
  <si>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</si>
  <si>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</si>
  <si>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</si>
  <si>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</si>
  <si>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</si>
  <si>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</si>
  <si>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</si>
  <si>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</si>
  <si>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</si>
  <si>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</si>
  <si>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</si>
  <si>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North Korea</t>
  </si>
  <si>
    <t>PRK</t>
  </si>
  <si>
    <t>Paraguay</t>
  </si>
  <si>
    <t>PRY</t>
  </si>
  <si>
    <t>Palestine</t>
  </si>
  <si>
    <t>PSE</t>
  </si>
  <si>
    <t>Qatar</t>
  </si>
  <si>
    <t>QAT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</si>
  <si>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</si>
  <si>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</si>
  <si>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</si>
  <si>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</si>
  <si>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</si>
  <si>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</si>
  <si>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</si>
  <si>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</si>
  <si>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</si>
  <si>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</si>
  <si>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</si>
  <si>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</si>
  <si>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</si>
  <si>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</si>
  <si>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</si>
  <si>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</si>
  <si>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</si>
  <si>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</si>
  <si>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</si>
  <si>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</si>
  <si>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</si>
  <si>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</si>
  <si>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Republic of Serbia</t>
  </si>
  <si>
    <t>SRB</t>
  </si>
  <si>
    <t>South Sudan</t>
  </si>
  <si>
    <t>SSD</t>
  </si>
  <si>
    <t>Sao Tome and Principe</t>
  </si>
  <si>
    <t>STP</t>
  </si>
  <si>
    <t>Suriname</t>
  </si>
  <si>
    <t>SUR</t>
  </si>
  <si>
    <t>Eswatini</t>
  </si>
  <si>
    <t>SWZ</t>
  </si>
  <si>
    <t>Seychelles</t>
  </si>
  <si>
    <t>SYC</t>
  </si>
  <si>
    <t>Syria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</si>
  <si>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</si>
  <si>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</si>
  <si>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</si>
  <si>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</si>
  <si>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</si>
  <si>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</si>
  <si>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</si>
  <si>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</si>
  <si>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</si>
  <si>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</si>
  <si>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</si>
  <si>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</si>
  <si>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</si>
  <si>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</si>
  <si>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</si>
  <si>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</si>
  <si>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</si>
  <si>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</si>
  <si>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</si>
  <si>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</si>
  <si>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</si>
  <si>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</si>
  <si>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</si>
  <si>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United Republic of Tanzania</t>
  </si>
  <si>
    <t>TZA</t>
  </si>
  <si>
    <t>Uganda</t>
  </si>
  <si>
    <t>UGA</t>
  </si>
  <si>
    <t>Ukraine</t>
  </si>
  <si>
    <t>UKR</t>
  </si>
  <si>
    <t>Uruguay</t>
  </si>
  <si>
    <t>URY</t>
  </si>
  <si>
    <t>United States of America</t>
  </si>
  <si>
    <t>USA</t>
  </si>
  <si>
    <t>Uzbekistan</t>
  </si>
  <si>
    <t>UZB</t>
  </si>
  <si>
    <t>Holy See (Vatican City State)</t>
  </si>
  <si>
    <t>VAT</t>
  </si>
  <si>
    <t>Saint Vincent and the Grenadines</t>
  </si>
  <si>
    <t>VCT</t>
  </si>
  <si>
    <t>Venezuela</t>
  </si>
  <si>
    <t>VEN</t>
  </si>
  <si>
    <t>Vietnam</t>
  </si>
  <si>
    <t>VNM</t>
  </si>
  <si>
    <t>Vanuatu</t>
  </si>
  <si>
    <t>VUT</t>
  </si>
  <si>
    <t>Samoa</t>
  </si>
  <si>
    <t>WSM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</si>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</sst>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3" fillId="0" borderId="0" xfId="0" applyNumberFormat="1" applyFont="1"/>
    <xf numFmtId="0" fontId="6" fillId="0" borderId="0" xfId="0" applyFont="1" applyAlignment="1">
      <alignment wrapText="1"/>
    </xf>
    <xf numFmtId="0" fontId="0" fillId="2" borderId="0" xfId="0" applyFill="1"/>
    <xf numFmtId="0" fontId="8" fillId="2" borderId="0" xfId="0" applyFont="1" applyFill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2" fontId="7" fillId="0" borderId="0" xfId="1" applyNumberFormat="1" applyFont="1" applyFill="1" applyBorder="1"/>
    <xf numFmtId="2" fontId="7" fillId="0" borderId="0" xfId="0" applyNumberFormat="1" applyFont="1"/>
    <xf numFmtId="0" fontId="6" fillId="0" borderId="1" xfId="0" applyFont="1" applyBorder="1"/>
    <xf numFmtId="165" fontId="6" fillId="0" borderId="1" xfId="0" applyNumberFormat="1" applyFont="1" applyBorder="1"/>
    <xf numFmtId="0" fontId="6" fillId="0" borderId="2" xfId="0" applyFont="1" applyBorder="1" applyAlignment="1">
      <alignment horizontal="left"/>
    </xf>
    <xf numFmtId="165" fontId="6" fillId="0" borderId="2" xfId="1" applyNumberFormat="1" applyFont="1" applyFill="1" applyBorder="1" applyAlignment="1">
      <alignment horizontal="left"/>
    </xf>
    <xf numFmtId="164" fontId="0" fillId="0" borderId="0" xfId="0" applyNumberFormat="1"/>
    <xf numFmtId="0" fontId="0" fillId="0" borderId="2" xfId="0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_0530%20copy.xlsx" TargetMode="External"/><Relationship Id="rId1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_0530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.xlsx" TargetMode="External"/><Relationship Id="rId1" Type="http://schemas.openxmlformats.org/officeDocument/2006/relationships/externalLinkPath" Target="https://onewri.sharepoint.com/sites/climatewatch/Shared%20Documents/2.%20&#128176;%20New%20Ideas%20and%20Fundraising/2025%20NDC%20Tracker/Data%20Team/filling%20in%20sectors%20and%20gases/CW_NDC_Tracker_Calculations-2025C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global_backend"/>
      <sheetName val="country_backend"/>
      <sheetName val="Test of Other Countries G20"/>
      <sheetName val="2035_2030"/>
      <sheetName val="2035 Summary"/>
      <sheetName val="1 2035 GHG Target"/>
      <sheetName val="2b BAU 2035"/>
      <sheetName val="2 2035 Gap filling"/>
      <sheetName val="2035 ad.cal."/>
      <sheetName val="2a Harmonization kyoto"/>
      <sheetName val="global"/>
      <sheetName val="2030 Summary"/>
      <sheetName val="1 2030 GHG Target"/>
      <sheetName val="2 2030 Gap filling"/>
      <sheetName val="1a Additional calculations"/>
      <sheetName val="1b Intensity target"/>
      <sheetName val="2b BAU 2030"/>
      <sheetName val="CW GHG"/>
      <sheetName val="NGFS downscaled GCAM 6"/>
      <sheetName val="NGFS I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1027.0722887290001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global_backend"/>
      <sheetName val="country_backend"/>
      <sheetName val="Test of Other Countries G20"/>
      <sheetName val="2035_2030"/>
      <sheetName val="2035 Summary"/>
      <sheetName val="1 2035 GHG Target"/>
      <sheetName val="2b BAU 2035"/>
      <sheetName val="2 2035 Gap filling"/>
      <sheetName val="2035 ad.cal."/>
      <sheetName val="2a Harmonization kyoto"/>
      <sheetName val="global"/>
      <sheetName val="2030 Summary"/>
      <sheetName val="1 2030 GHG Target"/>
      <sheetName val="2 2030 Gap filling"/>
      <sheetName val="1a Additional calculations"/>
      <sheetName val="1b Intensity target"/>
      <sheetName val="2b BAU 2030"/>
      <sheetName val="CW GHG"/>
      <sheetName val="NGFS downscaled GCAM 6"/>
      <sheetName val="NGFS I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C917-E89A-1A4D-B4A0-AF7AAD6CFE33}">
  <dimension ref="A1:H47"/>
  <sheetViews>
    <sheetView workbookViewId="0">
      <pane xSplit="2" ySplit="1" topLeftCell="C36" activePane="bottomRight" state="frozen"/>
      <selection pane="topRight" activeCell="C1" sqref="C1"/>
      <selection pane="bottomLeft" activeCell="A2" sqref="A2"/>
      <selection pane="bottomRight" activeCell="H48" sqref="H48"/>
    </sheetView>
  </sheetViews>
  <sheetFormatPr baseColWidth="10" defaultColWidth="11" defaultRowHeight="16"/>
  <sheetData>
    <row r="1" spans="1:8" s="4" customFormat="1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>
        <v>1990</v>
      </c>
      <c r="B2" s="2">
        <v>39.727000000000004</v>
      </c>
      <c r="C2" s="1"/>
      <c r="D2" s="1"/>
      <c r="E2" s="1"/>
      <c r="F2" s="1"/>
      <c r="G2" s="1"/>
      <c r="H2" s="1"/>
    </row>
    <row r="3" spans="1:8">
      <c r="A3" s="1">
        <v>1991</v>
      </c>
      <c r="B3" s="2">
        <v>39.903660000000009</v>
      </c>
      <c r="C3" s="1"/>
      <c r="D3" s="1"/>
      <c r="E3" s="1"/>
      <c r="F3" s="1"/>
      <c r="G3" s="1"/>
      <c r="H3" s="1"/>
    </row>
    <row r="4" spans="1:8">
      <c r="A4" s="1">
        <v>1992</v>
      </c>
      <c r="B4" s="2">
        <v>39.815400000000004</v>
      </c>
      <c r="C4" s="1"/>
      <c r="D4" s="1"/>
      <c r="E4" s="1"/>
      <c r="F4" s="1"/>
      <c r="G4" s="1"/>
      <c r="H4" s="1"/>
    </row>
    <row r="5" spans="1:8">
      <c r="A5" s="1">
        <v>1993</v>
      </c>
      <c r="B5" s="2">
        <v>39.966460000000005</v>
      </c>
      <c r="C5" s="1"/>
      <c r="D5" s="1"/>
      <c r="E5" s="1"/>
      <c r="F5" s="1"/>
      <c r="G5" s="1"/>
      <c r="H5" s="1"/>
    </row>
    <row r="6" spans="1:8">
      <c r="A6" s="1">
        <v>1994</v>
      </c>
      <c r="B6" s="2">
        <v>40.243050000000004</v>
      </c>
      <c r="C6" s="1"/>
      <c r="D6" s="1"/>
      <c r="E6" s="1"/>
      <c r="F6" s="1"/>
      <c r="G6" s="1"/>
      <c r="H6" s="1"/>
    </row>
    <row r="7" spans="1:8">
      <c r="A7" s="1">
        <v>1995</v>
      </c>
      <c r="B7" s="2">
        <v>41.042370000000005</v>
      </c>
      <c r="C7" s="1"/>
      <c r="D7" s="1"/>
      <c r="E7" s="1"/>
      <c r="F7" s="1"/>
      <c r="G7" s="1"/>
      <c r="H7" s="1"/>
    </row>
    <row r="8" spans="1:8">
      <c r="A8" s="1">
        <v>1996</v>
      </c>
      <c r="B8" s="2">
        <v>41.438960000000002</v>
      </c>
      <c r="C8" s="1"/>
      <c r="D8" s="1"/>
      <c r="E8" s="1"/>
      <c r="F8" s="1"/>
      <c r="G8" s="1"/>
      <c r="H8" s="1"/>
    </row>
    <row r="9" spans="1:8">
      <c r="A9" s="1">
        <v>1997</v>
      </c>
      <c r="B9" s="2">
        <v>42.805390000000003</v>
      </c>
      <c r="C9" s="1"/>
      <c r="D9" s="1"/>
      <c r="E9" s="1"/>
      <c r="F9" s="1"/>
      <c r="G9" s="1"/>
      <c r="H9" s="1"/>
    </row>
    <row r="10" spans="1:8">
      <c r="A10" s="1">
        <v>1998</v>
      </c>
      <c r="B10" s="2">
        <v>42.344870000000007</v>
      </c>
      <c r="C10" s="1"/>
      <c r="D10" s="1"/>
      <c r="E10" s="1"/>
      <c r="F10" s="1"/>
      <c r="G10" s="1"/>
      <c r="H10" s="1"/>
    </row>
    <row r="11" spans="1:8">
      <c r="A11" s="1">
        <v>1999</v>
      </c>
      <c r="B11" s="2">
        <v>42.341670000000001</v>
      </c>
      <c r="C11" s="1"/>
      <c r="D11" s="1"/>
      <c r="E11" s="1"/>
      <c r="F11" s="1"/>
      <c r="G11" s="1"/>
      <c r="H11" s="1"/>
    </row>
    <row r="12" spans="1:8">
      <c r="A12" s="1">
        <v>2000</v>
      </c>
      <c r="B12" s="2">
        <v>43.030440000000006</v>
      </c>
      <c r="C12" s="1"/>
      <c r="D12" s="1"/>
      <c r="E12" s="1"/>
      <c r="F12" s="1"/>
      <c r="G12" s="1"/>
      <c r="H12" s="1"/>
    </row>
    <row r="13" spans="1:8">
      <c r="A13" s="1">
        <v>2001</v>
      </c>
      <c r="B13" s="2">
        <v>43.113050000000008</v>
      </c>
      <c r="C13" s="1"/>
      <c r="D13" s="1"/>
      <c r="E13" s="1"/>
      <c r="F13" s="1"/>
      <c r="G13" s="1"/>
      <c r="H13" s="1"/>
    </row>
    <row r="14" spans="1:8">
      <c r="A14" s="1">
        <v>2002</v>
      </c>
      <c r="B14" s="2">
        <v>44.068300000000008</v>
      </c>
      <c r="C14" s="1"/>
      <c r="D14" s="1"/>
      <c r="E14" s="1"/>
      <c r="F14" s="1"/>
      <c r="G14" s="1"/>
      <c r="H14" s="1"/>
    </row>
    <row r="15" spans="1:8">
      <c r="A15" s="1">
        <v>2003</v>
      </c>
      <c r="B15" s="2">
        <v>45.051960000000001</v>
      </c>
      <c r="C15" s="1"/>
      <c r="D15" s="1"/>
      <c r="E15" s="1"/>
      <c r="F15" s="1"/>
      <c r="G15" s="1"/>
      <c r="H15" s="1"/>
    </row>
    <row r="16" spans="1:8">
      <c r="A16" s="1">
        <v>2004</v>
      </c>
      <c r="B16" s="2">
        <v>46.856430000000003</v>
      </c>
      <c r="C16" s="1"/>
      <c r="D16" s="1"/>
      <c r="E16" s="1"/>
      <c r="F16" s="1"/>
      <c r="G16" s="1"/>
      <c r="H16" s="1"/>
    </row>
    <row r="17" spans="1:8">
      <c r="A17" s="1">
        <v>2005</v>
      </c>
      <c r="B17" s="2">
        <v>47.789400000000008</v>
      </c>
      <c r="C17" s="1"/>
      <c r="D17" s="1"/>
      <c r="E17" s="1"/>
      <c r="F17" s="1"/>
      <c r="G17" s="1"/>
      <c r="H17" s="1"/>
    </row>
    <row r="18" spans="1:8">
      <c r="A18" s="1">
        <v>2006</v>
      </c>
      <c r="B18" s="2">
        <v>49.243200000000002</v>
      </c>
      <c r="C18" s="1"/>
      <c r="D18" s="1"/>
      <c r="E18" s="1"/>
      <c r="F18" s="1"/>
      <c r="G18" s="1"/>
      <c r="H18" s="1"/>
    </row>
    <row r="19" spans="1:8">
      <c r="A19" s="1">
        <v>2007</v>
      </c>
      <c r="B19" s="2">
        <v>50.015349999999998</v>
      </c>
      <c r="C19" s="1"/>
      <c r="D19" s="1"/>
      <c r="E19" s="1"/>
      <c r="F19" s="1"/>
      <c r="G19" s="1"/>
      <c r="H19" s="1"/>
    </row>
    <row r="20" spans="1:8">
      <c r="A20" s="1">
        <v>2008</v>
      </c>
      <c r="B20" s="2">
        <v>50.253500000000003</v>
      </c>
      <c r="C20" s="1"/>
      <c r="D20" s="1"/>
      <c r="E20" s="1"/>
      <c r="F20" s="1"/>
      <c r="G20" s="1"/>
      <c r="H20" s="1"/>
    </row>
    <row r="21" spans="1:8">
      <c r="A21" s="1">
        <v>2009</v>
      </c>
      <c r="B21" s="2">
        <v>50.172480000000007</v>
      </c>
      <c r="C21" s="1"/>
      <c r="D21" s="1"/>
      <c r="E21" s="1"/>
      <c r="F21" s="1"/>
      <c r="G21" s="1"/>
      <c r="H21" s="1"/>
    </row>
    <row r="22" spans="1:8">
      <c r="A22" s="1">
        <v>2010</v>
      </c>
      <c r="B22" s="2">
        <v>51.987070000000003</v>
      </c>
      <c r="C22" s="1"/>
      <c r="D22" s="1"/>
      <c r="E22" s="1"/>
      <c r="F22" s="1"/>
      <c r="G22" s="1"/>
      <c r="H22" s="1"/>
    </row>
    <row r="23" spans="1:8">
      <c r="A23" s="1">
        <v>2011</v>
      </c>
      <c r="B23" s="2">
        <v>52.157380000000003</v>
      </c>
      <c r="C23" s="1"/>
      <c r="D23" s="1"/>
      <c r="E23" s="1"/>
      <c r="F23" s="1"/>
      <c r="G23" s="1"/>
      <c r="H23" s="1"/>
    </row>
    <row r="24" spans="1:8">
      <c r="A24" s="1">
        <v>2012</v>
      </c>
      <c r="B24" s="2">
        <v>52.633949999999999</v>
      </c>
      <c r="C24" s="1"/>
      <c r="D24" s="1"/>
      <c r="E24" s="1"/>
      <c r="F24" s="1"/>
      <c r="G24" s="1"/>
      <c r="H24" s="1"/>
    </row>
    <row r="25" spans="1:8">
      <c r="A25" s="1">
        <v>2013</v>
      </c>
      <c r="B25" s="2">
        <v>53.254230000000007</v>
      </c>
      <c r="C25" s="1"/>
      <c r="D25" s="1"/>
      <c r="E25" s="1"/>
      <c r="F25" s="1"/>
      <c r="G25" s="1"/>
      <c r="H25" s="1"/>
    </row>
    <row r="26" spans="1:8">
      <c r="A26" s="1">
        <v>2014</v>
      </c>
      <c r="B26" s="2">
        <v>53.897489999999998</v>
      </c>
      <c r="C26" s="1"/>
      <c r="D26" s="1"/>
      <c r="E26" s="1"/>
      <c r="F26" s="1"/>
      <c r="G26" s="1"/>
      <c r="H26" s="1"/>
    </row>
    <row r="27" spans="1:8">
      <c r="A27" s="1">
        <v>2015</v>
      </c>
      <c r="B27" s="2">
        <v>53.826460000000004</v>
      </c>
      <c r="C27" s="1"/>
      <c r="D27" s="1"/>
      <c r="E27" s="1"/>
      <c r="F27" s="1"/>
      <c r="G27" s="1"/>
      <c r="H27" s="1"/>
    </row>
    <row r="28" spans="1:8">
      <c r="A28" s="1">
        <v>2016</v>
      </c>
      <c r="B28" s="2">
        <v>54.425110000000004</v>
      </c>
      <c r="C28" s="1"/>
      <c r="D28" s="1"/>
      <c r="E28" s="1"/>
      <c r="F28" s="1"/>
      <c r="G28" s="1"/>
      <c r="H28" s="1"/>
    </row>
    <row r="29" spans="1:8">
      <c r="A29" s="1">
        <v>2017</v>
      </c>
      <c r="B29" s="2">
        <v>55.111379999999997</v>
      </c>
      <c r="C29" s="1"/>
      <c r="D29" s="1"/>
      <c r="E29" s="1"/>
      <c r="F29" s="1"/>
      <c r="G29" s="1"/>
      <c r="H29" s="1"/>
    </row>
    <row r="30" spans="1:8">
      <c r="A30" s="1">
        <v>2018</v>
      </c>
      <c r="B30" s="2">
        <v>56.193660000000008</v>
      </c>
      <c r="C30" s="1"/>
      <c r="D30" s="1"/>
      <c r="E30" s="1"/>
      <c r="F30" s="1"/>
      <c r="G30" s="1"/>
      <c r="H30" s="1"/>
    </row>
    <row r="31" spans="1:8">
      <c r="A31" s="1">
        <v>2019</v>
      </c>
      <c r="B31" s="2">
        <v>56.567660000000004</v>
      </c>
      <c r="C31" s="1"/>
      <c r="D31" s="1"/>
      <c r="E31" s="1"/>
      <c r="F31" s="1"/>
      <c r="G31" s="1"/>
      <c r="H31" s="1"/>
    </row>
    <row r="32" spans="1:8">
      <c r="A32" s="1">
        <v>2020</v>
      </c>
      <c r="B32" s="2">
        <v>54.266600000000004</v>
      </c>
      <c r="C32" s="1"/>
      <c r="D32" s="1"/>
      <c r="E32" s="1"/>
      <c r="F32" s="1"/>
      <c r="G32" s="1"/>
      <c r="H32" s="1"/>
    </row>
    <row r="33" spans="1:8">
      <c r="A33" s="1">
        <v>2021</v>
      </c>
      <c r="B33" s="2">
        <v>56.356949999999998</v>
      </c>
      <c r="C33" s="1"/>
      <c r="D33" s="1"/>
      <c r="E33" s="1"/>
      <c r="F33" s="1"/>
      <c r="G33" s="1"/>
      <c r="H33" s="1"/>
    </row>
    <row r="34" spans="1:8">
      <c r="A34" s="1">
        <v>2022</v>
      </c>
      <c r="B34" s="2">
        <v>56.822980000000008</v>
      </c>
      <c r="C34" s="1"/>
      <c r="D34" s="1"/>
      <c r="E34" s="1"/>
      <c r="F34" s="1"/>
      <c r="G34" s="1"/>
      <c r="H34" s="1"/>
    </row>
    <row r="35" spans="1:8">
      <c r="A35" s="1">
        <v>2023</v>
      </c>
      <c r="B35" s="1"/>
      <c r="C35" s="1"/>
      <c r="D35" s="1"/>
      <c r="E35" s="1"/>
      <c r="F35" s="1"/>
      <c r="G35" s="1"/>
      <c r="H35" s="1"/>
    </row>
    <row r="36" spans="1:8">
      <c r="A36" s="1">
        <v>2024</v>
      </c>
      <c r="B36" s="1"/>
      <c r="C36" s="1"/>
      <c r="D36" s="1"/>
      <c r="E36" s="1"/>
      <c r="F36" s="1"/>
      <c r="G36" s="1"/>
      <c r="H36" s="1"/>
    </row>
    <row r="37" spans="1:8">
      <c r="A37" s="1">
        <v>2025</v>
      </c>
      <c r="B37" s="1"/>
      <c r="C37" s="1"/>
      <c r="D37" s="1"/>
      <c r="E37" s="1"/>
      <c r="F37" s="1"/>
      <c r="G37" s="1"/>
      <c r="H37" s="1"/>
    </row>
    <row r="38" spans="1:8">
      <c r="A38" s="1">
        <v>2026</v>
      </c>
      <c r="B38" s="1"/>
      <c r="C38" s="1"/>
      <c r="D38" s="1"/>
      <c r="E38" s="1"/>
      <c r="F38" s="1"/>
      <c r="G38" s="1"/>
      <c r="H38" s="1"/>
    </row>
    <row r="39" spans="1:8">
      <c r="A39" s="1">
        <v>2027</v>
      </c>
      <c r="B39" s="1"/>
      <c r="C39" s="1"/>
      <c r="D39" s="1"/>
      <c r="E39" s="1"/>
      <c r="F39" s="1"/>
      <c r="G39" s="1"/>
      <c r="H39" s="1"/>
    </row>
    <row r="40" spans="1:8">
      <c r="A40" s="1">
        <v>2028</v>
      </c>
      <c r="B40" s="1"/>
      <c r="C40" s="1"/>
      <c r="D40" s="1"/>
      <c r="E40" s="1"/>
      <c r="F40" s="1"/>
      <c r="G40" s="1"/>
      <c r="H40" s="1"/>
    </row>
    <row r="41" spans="1:8">
      <c r="A41" s="1">
        <v>2029</v>
      </c>
      <c r="B41" s="1"/>
      <c r="C41" s="1"/>
      <c r="D41" s="1"/>
      <c r="E41" s="1"/>
      <c r="F41" s="1"/>
      <c r="G41" s="1"/>
      <c r="H41" s="1"/>
    </row>
    <row r="42" spans="1:8">
      <c r="A42" s="1">
        <v>2030</v>
      </c>
      <c r="B42" s="1"/>
      <c r="C42" s="1">
        <v>52.6</v>
      </c>
      <c r="D42" s="1">
        <v>55.8</v>
      </c>
      <c r="G42" s="1">
        <v>41</v>
      </c>
      <c r="H42" s="1">
        <v>33</v>
      </c>
    </row>
    <row r="43" spans="1:8">
      <c r="A43" s="1">
        <v>2031</v>
      </c>
      <c r="B43" s="1"/>
      <c r="C43" s="1"/>
      <c r="D43" s="1"/>
      <c r="E43" s="1"/>
      <c r="F43" s="1"/>
      <c r="G43" s="1"/>
      <c r="H43" s="1"/>
    </row>
    <row r="44" spans="1:8">
      <c r="A44" s="1">
        <v>2032</v>
      </c>
      <c r="B44" s="1"/>
      <c r="C44" s="1"/>
      <c r="D44" s="1"/>
      <c r="E44" s="1"/>
      <c r="F44" s="1"/>
      <c r="G44" s="1"/>
      <c r="H44" s="1"/>
    </row>
    <row r="45" spans="1:8">
      <c r="A45" s="1">
        <v>2033</v>
      </c>
      <c r="B45" s="1"/>
      <c r="C45" s="1"/>
      <c r="D45" s="1"/>
      <c r="E45" s="1"/>
      <c r="F45" s="1"/>
      <c r="G45" s="1"/>
      <c r="H45" s="1"/>
    </row>
    <row r="46" spans="1:8">
      <c r="A46" s="1">
        <v>2034</v>
      </c>
      <c r="B46" s="1"/>
      <c r="C46" s="1"/>
      <c r="D46" s="1"/>
      <c r="E46" s="1"/>
      <c r="F46" s="1"/>
      <c r="G46" s="1"/>
      <c r="H46" s="1"/>
    </row>
    <row r="47" spans="1:8">
      <c r="A47" s="1">
        <v>2035</v>
      </c>
      <c r="B47" s="1"/>
      <c r="C47" s="1"/>
      <c r="D47" s="1"/>
      <c r="E47" s="1">
        <v>51.1</v>
      </c>
      <c r="F47" s="5">
        <v>54.45</v>
      </c>
      <c r="G47" s="1">
        <v>36</v>
      </c>
      <c r="H47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6B52-E6EA-B342-B536-C429268109D8}">
  <dimension ref="A1:R174"/>
  <sheetViews>
    <sheetView tabSelected="1" workbookViewId="0">
      <pane xSplit="2" ySplit="3" topLeftCell="E6" activePane="bottomRight" state="frozen"/>
      <selection pane="topRight" activeCell="C1" sqref="C1"/>
      <selection pane="bottomLeft" activeCell="A5" sqref="A5"/>
      <selection pane="bottomRight" activeCell="A5" sqref="A5:XFD5"/>
    </sheetView>
  </sheetViews>
  <sheetFormatPr baseColWidth="10" defaultColWidth="11" defaultRowHeight="16"/>
  <cols>
    <col min="1" max="1" width="29.1640625" bestFit="1" customWidth="1"/>
    <col min="2" max="2" width="5.33203125" bestFit="1" customWidth="1"/>
    <col min="3" max="3" width="24.83203125" bestFit="1" customWidth="1"/>
    <col min="4" max="4" width="10.83203125" bestFit="1" customWidth="1"/>
    <col min="5" max="5" width="55.1640625" bestFit="1" customWidth="1"/>
    <col min="6" max="6" width="10.83203125" bestFit="1" customWidth="1"/>
    <col min="7" max="7" width="24.83203125" bestFit="1" customWidth="1"/>
    <col min="8" max="8" width="10.83203125" bestFit="1" customWidth="1"/>
    <col min="9" max="9" width="30.1640625" bestFit="1" customWidth="1"/>
    <col min="10" max="10" width="10.83203125" bestFit="1" customWidth="1"/>
    <col min="13" max="13" width="22.1640625" bestFit="1" customWidth="1"/>
    <col min="14" max="14" width="12.1640625" bestFit="1" customWidth="1"/>
    <col min="15" max="15" width="10.33203125" bestFit="1" customWidth="1"/>
    <col min="17" max="17" width="12.1640625" bestFit="1" customWidth="1"/>
    <col min="18" max="18" width="10.33203125" bestFit="1" customWidth="1"/>
  </cols>
  <sheetData>
    <row r="1" spans="1:18">
      <c r="A1" s="7"/>
      <c r="B1" s="7"/>
      <c r="C1" s="8" t="s">
        <v>8</v>
      </c>
      <c r="D1" s="7"/>
      <c r="E1" s="8" t="s">
        <v>9</v>
      </c>
      <c r="F1" s="8"/>
      <c r="G1" s="8" t="s">
        <v>8</v>
      </c>
      <c r="H1" s="8"/>
      <c r="I1" s="8" t="s">
        <v>10</v>
      </c>
      <c r="J1" s="8"/>
      <c r="N1">
        <v>2035</v>
      </c>
      <c r="Q1">
        <v>2030</v>
      </c>
    </row>
    <row r="2" spans="1:18">
      <c r="A2" s="9"/>
      <c r="B2" s="9"/>
      <c r="C2" s="10">
        <v>2035</v>
      </c>
      <c r="D2" s="10">
        <v>2035</v>
      </c>
      <c r="E2" s="10">
        <v>2035</v>
      </c>
      <c r="F2" s="10">
        <v>2035</v>
      </c>
      <c r="G2" s="10">
        <v>2030</v>
      </c>
      <c r="H2" s="10">
        <v>2030</v>
      </c>
      <c r="I2" s="10">
        <v>2030</v>
      </c>
      <c r="J2" s="10">
        <v>2030</v>
      </c>
      <c r="M2" t="s">
        <v>11</v>
      </c>
      <c r="N2" s="13" t="s">
        <v>12</v>
      </c>
      <c r="O2" s="13" t="s">
        <v>13</v>
      </c>
      <c r="Q2" s="13" t="s">
        <v>12</v>
      </c>
      <c r="R2" s="13" t="s">
        <v>13</v>
      </c>
    </row>
    <row r="3" spans="1:18">
      <c r="A3" s="6" t="s">
        <v>14</v>
      </c>
      <c r="B3" s="6" t="s">
        <v>15</v>
      </c>
      <c r="C3" s="11" t="s">
        <v>12</v>
      </c>
      <c r="D3" s="11" t="s">
        <v>13</v>
      </c>
      <c r="E3" s="11" t="s">
        <v>12</v>
      </c>
      <c r="F3" s="11" t="s">
        <v>13</v>
      </c>
      <c r="G3" s="12" t="s">
        <v>12</v>
      </c>
      <c r="H3" s="12" t="s">
        <v>13</v>
      </c>
      <c r="I3" s="12" t="s">
        <v>12</v>
      </c>
      <c r="J3" s="12" t="s">
        <v>13</v>
      </c>
      <c r="M3" s="13" t="s">
        <v>16</v>
      </c>
      <c r="N3" s="14">
        <f>SUM(N5:N8)</f>
        <v>54.42247228872899</v>
      </c>
      <c r="O3" s="14">
        <f>SUM(O5:O8)</f>
        <v>51.110472288729021</v>
      </c>
      <c r="P3" s="13"/>
      <c r="Q3" s="14">
        <f>SUM(Q5:Q8)</f>
        <v>55.817372288728968</v>
      </c>
      <c r="R3" s="14">
        <f>SUM(R5:R8)</f>
        <v>52.562472288728998</v>
      </c>
    </row>
    <row r="4" spans="1:18">
      <c r="A4" t="s">
        <v>17</v>
      </c>
      <c r="B4" t="s">
        <v>18</v>
      </c>
      <c r="C4" t="s">
        <v>19</v>
      </c>
      <c r="D4" t="s">
        <v>19</v>
      </c>
      <c r="E4">
        <v>51.7</v>
      </c>
      <c r="F4">
        <v>45.5</v>
      </c>
      <c r="G4" t="s">
        <v>19</v>
      </c>
      <c r="H4">
        <v>45.5</v>
      </c>
      <c r="I4">
        <v>51.7</v>
      </c>
      <c r="J4">
        <v>45.5</v>
      </c>
    </row>
    <row r="5" spans="1:18">
      <c r="A5" t="s">
        <v>20</v>
      </c>
      <c r="B5" t="s">
        <v>21</v>
      </c>
      <c r="C5" t="s">
        <v>19</v>
      </c>
      <c r="D5" t="s">
        <v>19</v>
      </c>
      <c r="E5">
        <v>27.6</v>
      </c>
      <c r="F5">
        <v>-1.4</v>
      </c>
      <c r="G5">
        <v>27.6</v>
      </c>
      <c r="H5">
        <v>-1.4</v>
      </c>
      <c r="I5">
        <v>27.6</v>
      </c>
      <c r="J5">
        <v>-1.4</v>
      </c>
      <c r="M5" s="15" t="s">
        <v>22</v>
      </c>
      <c r="N5" s="16">
        <f>SUM(E4:E174)/1000</f>
        <v>46.295399999999987</v>
      </c>
      <c r="O5" s="16">
        <f>SUM(F4:F174)/1000</f>
        <v>42.983400000000017</v>
      </c>
      <c r="P5" s="15"/>
      <c r="Q5" s="16">
        <f>SUM(I4:I174)/1000</f>
        <v>47.690299999999965</v>
      </c>
      <c r="R5" s="16">
        <f>SUM(J4:J174)/1000</f>
        <v>44.435399999999994</v>
      </c>
    </row>
    <row r="6" spans="1:18">
      <c r="A6" t="s">
        <v>23</v>
      </c>
      <c r="B6" t="s">
        <v>24</v>
      </c>
      <c r="C6" t="s">
        <v>19</v>
      </c>
      <c r="D6" t="s">
        <v>19</v>
      </c>
      <c r="E6">
        <v>12</v>
      </c>
      <c r="F6">
        <v>12</v>
      </c>
      <c r="G6">
        <v>12</v>
      </c>
      <c r="H6" t="s">
        <v>19</v>
      </c>
      <c r="I6">
        <v>12</v>
      </c>
      <c r="J6">
        <v>12</v>
      </c>
      <c r="M6" t="s">
        <v>25</v>
      </c>
      <c r="N6" s="17">
        <f>bunkers/1000</f>
        <v>1.027072288729</v>
      </c>
      <c r="O6" s="17">
        <f>bunkers/1000</f>
        <v>1.027072288729</v>
      </c>
      <c r="Q6" s="17">
        <f>bunkers/1000</f>
        <v>1.027072288729</v>
      </c>
      <c r="R6" s="17">
        <f>bunkers/1000</f>
        <v>1.027072288729</v>
      </c>
    </row>
    <row r="7" spans="1:18">
      <c r="A7" t="s">
        <v>26</v>
      </c>
      <c r="B7" t="s">
        <v>27</v>
      </c>
      <c r="C7">
        <v>0.1</v>
      </c>
      <c r="D7" t="s">
        <v>19</v>
      </c>
      <c r="E7">
        <v>0.1</v>
      </c>
      <c r="F7">
        <v>0.1</v>
      </c>
      <c r="G7">
        <v>0.3</v>
      </c>
      <c r="H7" t="s">
        <v>19</v>
      </c>
      <c r="I7">
        <v>0.3</v>
      </c>
      <c r="J7">
        <v>0.3</v>
      </c>
      <c r="M7" t="s">
        <v>28</v>
      </c>
      <c r="N7" s="19">
        <v>0.4</v>
      </c>
      <c r="O7" s="19">
        <v>0.4</v>
      </c>
      <c r="Q7" s="19">
        <v>0.4</v>
      </c>
      <c r="R7" s="19">
        <v>0.4</v>
      </c>
    </row>
    <row r="8" spans="1:18">
      <c r="A8" t="s">
        <v>29</v>
      </c>
      <c r="B8" t="s">
        <v>30</v>
      </c>
      <c r="C8">
        <v>103.5</v>
      </c>
      <c r="D8" t="s">
        <v>19</v>
      </c>
      <c r="E8">
        <v>103.5</v>
      </c>
      <c r="F8">
        <v>103.5</v>
      </c>
      <c r="G8">
        <v>185.3</v>
      </c>
      <c r="H8" t="s">
        <v>19</v>
      </c>
      <c r="I8">
        <v>185.3</v>
      </c>
      <c r="J8">
        <v>185.3</v>
      </c>
      <c r="M8" s="18" t="s">
        <v>31</v>
      </c>
      <c r="N8" s="18">
        <v>6.7</v>
      </c>
      <c r="O8" s="18">
        <v>6.7</v>
      </c>
      <c r="P8" s="18"/>
      <c r="Q8" s="18">
        <v>6.7</v>
      </c>
      <c r="R8" s="18">
        <v>6.7</v>
      </c>
    </row>
    <row r="9" spans="1:18">
      <c r="A9" t="s">
        <v>32</v>
      </c>
      <c r="B9" t="s">
        <v>33</v>
      </c>
      <c r="C9" t="s">
        <v>19</v>
      </c>
      <c r="D9" t="s">
        <v>19</v>
      </c>
      <c r="E9">
        <v>349</v>
      </c>
      <c r="F9">
        <v>349</v>
      </c>
      <c r="G9">
        <v>349</v>
      </c>
      <c r="H9" t="s">
        <v>19</v>
      </c>
      <c r="I9">
        <v>349</v>
      </c>
      <c r="J9">
        <v>349</v>
      </c>
    </row>
    <row r="10" spans="1:18">
      <c r="A10" t="s">
        <v>34</v>
      </c>
      <c r="B10" t="s">
        <v>35</v>
      </c>
      <c r="C10" t="s">
        <v>19</v>
      </c>
      <c r="D10" t="s">
        <v>19</v>
      </c>
      <c r="E10">
        <v>10.6</v>
      </c>
      <c r="F10">
        <v>15.1</v>
      </c>
      <c r="G10" t="s">
        <v>19</v>
      </c>
      <c r="H10">
        <v>15.1</v>
      </c>
      <c r="I10">
        <v>10.6</v>
      </c>
      <c r="J10">
        <v>15.1</v>
      </c>
    </row>
    <row r="11" spans="1:18">
      <c r="A11" t="s">
        <v>36</v>
      </c>
      <c r="B11" t="s">
        <v>37</v>
      </c>
      <c r="C11" t="s">
        <v>19</v>
      </c>
      <c r="D11" t="s">
        <v>19</v>
      </c>
      <c r="E11">
        <v>1.4</v>
      </c>
      <c r="F11">
        <v>1.4</v>
      </c>
      <c r="G11" t="s">
        <v>19</v>
      </c>
      <c r="H11" t="s">
        <v>19</v>
      </c>
      <c r="I11">
        <v>1.4</v>
      </c>
      <c r="J11">
        <v>1.4</v>
      </c>
    </row>
    <row r="12" spans="1:18">
      <c r="A12" t="s">
        <v>38</v>
      </c>
      <c r="B12" t="s">
        <v>39</v>
      </c>
      <c r="C12" t="s">
        <v>19</v>
      </c>
      <c r="D12" t="s">
        <v>19</v>
      </c>
      <c r="E12">
        <v>354</v>
      </c>
      <c r="F12">
        <v>354</v>
      </c>
      <c r="G12">
        <v>354</v>
      </c>
      <c r="H12" t="s">
        <v>19</v>
      </c>
      <c r="I12">
        <v>354</v>
      </c>
      <c r="J12">
        <v>354</v>
      </c>
    </row>
    <row r="13" spans="1:18">
      <c r="A13" t="s">
        <v>40</v>
      </c>
      <c r="B13" t="s">
        <v>41</v>
      </c>
      <c r="C13" t="s">
        <v>19</v>
      </c>
      <c r="D13" t="s">
        <v>19</v>
      </c>
      <c r="E13">
        <v>51.5</v>
      </c>
      <c r="F13">
        <v>54.2</v>
      </c>
      <c r="G13" t="s">
        <v>19</v>
      </c>
      <c r="H13">
        <v>54.2</v>
      </c>
      <c r="I13">
        <v>51.5</v>
      </c>
      <c r="J13">
        <v>54.2</v>
      </c>
    </row>
    <row r="14" spans="1:18">
      <c r="A14" t="s">
        <v>42</v>
      </c>
      <c r="B14" t="s">
        <v>43</v>
      </c>
      <c r="C14" t="s">
        <v>19</v>
      </c>
      <c r="D14" t="s">
        <v>19</v>
      </c>
      <c r="E14">
        <v>7.4</v>
      </c>
      <c r="F14">
        <v>6.7</v>
      </c>
      <c r="G14">
        <v>7.4</v>
      </c>
      <c r="H14">
        <v>6.7</v>
      </c>
      <c r="I14">
        <v>7.4</v>
      </c>
      <c r="J14">
        <v>6.7</v>
      </c>
    </row>
    <row r="15" spans="1:18">
      <c r="A15" t="s">
        <v>44</v>
      </c>
      <c r="B15" t="s">
        <v>45</v>
      </c>
      <c r="C15" t="s">
        <v>19</v>
      </c>
      <c r="D15" t="s">
        <v>19</v>
      </c>
      <c r="E15">
        <v>35.200000000000003</v>
      </c>
      <c r="F15">
        <v>35.200000000000003</v>
      </c>
      <c r="G15">
        <v>35.200000000000003</v>
      </c>
      <c r="H15" t="s">
        <v>19</v>
      </c>
      <c r="I15">
        <v>35.200000000000003</v>
      </c>
      <c r="J15">
        <v>35.200000000000003</v>
      </c>
    </row>
    <row r="16" spans="1:18">
      <c r="A16" t="s">
        <v>46</v>
      </c>
      <c r="B16" t="s">
        <v>47</v>
      </c>
      <c r="C16" t="s">
        <v>19</v>
      </c>
      <c r="D16" t="s">
        <v>19</v>
      </c>
      <c r="E16">
        <v>88</v>
      </c>
      <c r="F16">
        <v>77.5</v>
      </c>
      <c r="G16">
        <v>88</v>
      </c>
      <c r="H16">
        <v>77.5</v>
      </c>
      <c r="I16">
        <v>88</v>
      </c>
      <c r="J16">
        <v>77.5</v>
      </c>
    </row>
    <row r="17" spans="1:10">
      <c r="A17" t="s">
        <v>48</v>
      </c>
      <c r="B17" t="s">
        <v>49</v>
      </c>
      <c r="C17" t="s">
        <v>19</v>
      </c>
      <c r="D17" t="s">
        <v>19</v>
      </c>
      <c r="E17">
        <v>381.8</v>
      </c>
      <c r="F17">
        <v>319.89999999999998</v>
      </c>
      <c r="G17">
        <v>381.8</v>
      </c>
      <c r="H17">
        <v>319.89999999999998</v>
      </c>
      <c r="I17">
        <v>381.8</v>
      </c>
      <c r="J17">
        <v>319.89999999999998</v>
      </c>
    </row>
    <row r="18" spans="1:10">
      <c r="A18" t="s">
        <v>50</v>
      </c>
      <c r="B18" t="s">
        <v>51</v>
      </c>
      <c r="C18" t="s">
        <v>19</v>
      </c>
      <c r="D18" t="s">
        <v>19</v>
      </c>
      <c r="E18">
        <v>35.5</v>
      </c>
      <c r="F18">
        <v>35.5</v>
      </c>
      <c r="G18" t="s">
        <v>19</v>
      </c>
      <c r="H18" t="s">
        <v>19</v>
      </c>
      <c r="I18">
        <v>35.5</v>
      </c>
      <c r="J18">
        <v>35.5</v>
      </c>
    </row>
    <row r="19" spans="1:10">
      <c r="A19" t="s">
        <v>52</v>
      </c>
      <c r="B19" t="s">
        <v>53</v>
      </c>
      <c r="C19" t="s">
        <v>19</v>
      </c>
      <c r="D19" t="s">
        <v>19</v>
      </c>
      <c r="E19">
        <v>6.5</v>
      </c>
      <c r="F19">
        <v>4.4000000000000004</v>
      </c>
      <c r="G19" t="s">
        <v>19</v>
      </c>
      <c r="H19">
        <v>4.4000000000000004</v>
      </c>
      <c r="I19">
        <v>6.5</v>
      </c>
      <c r="J19">
        <v>4.4000000000000004</v>
      </c>
    </row>
    <row r="20" spans="1:10">
      <c r="A20" t="s">
        <v>54</v>
      </c>
      <c r="B20" t="s">
        <v>55</v>
      </c>
      <c r="C20" t="s">
        <v>19</v>
      </c>
      <c r="D20" t="s">
        <v>19</v>
      </c>
      <c r="E20">
        <v>22.7</v>
      </c>
      <c r="F20">
        <v>21.5</v>
      </c>
      <c r="G20">
        <v>22.7</v>
      </c>
      <c r="H20">
        <v>21.5</v>
      </c>
      <c r="I20">
        <v>22.7</v>
      </c>
      <c r="J20">
        <v>21.5</v>
      </c>
    </row>
    <row r="21" spans="1:10">
      <c r="A21" t="s">
        <v>56</v>
      </c>
      <c r="B21" t="s">
        <v>57</v>
      </c>
      <c r="C21" t="s">
        <v>19</v>
      </c>
      <c r="D21" t="s">
        <v>19</v>
      </c>
      <c r="E21">
        <v>76.2</v>
      </c>
      <c r="F21">
        <v>70.3</v>
      </c>
      <c r="G21">
        <v>76.2</v>
      </c>
      <c r="H21">
        <v>70.3</v>
      </c>
      <c r="I21">
        <v>76.2</v>
      </c>
      <c r="J21">
        <v>70.3</v>
      </c>
    </row>
    <row r="22" spans="1:10">
      <c r="A22" t="s">
        <v>58</v>
      </c>
      <c r="B22" t="s">
        <v>59</v>
      </c>
      <c r="C22" t="s">
        <v>19</v>
      </c>
      <c r="D22">
        <v>6.2</v>
      </c>
      <c r="E22">
        <v>6.9</v>
      </c>
      <c r="F22">
        <v>6.2</v>
      </c>
      <c r="G22" t="s">
        <v>19</v>
      </c>
      <c r="H22">
        <v>5.9</v>
      </c>
      <c r="I22">
        <v>7</v>
      </c>
      <c r="J22">
        <v>5.9</v>
      </c>
    </row>
    <row r="23" spans="1:10">
      <c r="A23" t="s">
        <v>60</v>
      </c>
      <c r="B23" t="s">
        <v>61</v>
      </c>
      <c r="C23" t="s">
        <v>19</v>
      </c>
      <c r="D23" t="s">
        <v>19</v>
      </c>
      <c r="E23">
        <v>87.3</v>
      </c>
      <c r="F23">
        <v>87.3</v>
      </c>
      <c r="G23" t="s">
        <v>19</v>
      </c>
      <c r="H23" t="s">
        <v>19</v>
      </c>
      <c r="I23">
        <v>87.3</v>
      </c>
      <c r="J23">
        <v>87.3</v>
      </c>
    </row>
    <row r="24" spans="1:10">
      <c r="A24" t="s">
        <v>62</v>
      </c>
      <c r="B24" t="s">
        <v>63</v>
      </c>
      <c r="C24">
        <v>950</v>
      </c>
      <c r="D24" t="s">
        <v>19</v>
      </c>
      <c r="E24">
        <v>950</v>
      </c>
      <c r="F24">
        <v>950</v>
      </c>
      <c r="G24">
        <v>1200</v>
      </c>
      <c r="H24" t="s">
        <v>19</v>
      </c>
      <c r="I24">
        <v>1200</v>
      </c>
      <c r="J24">
        <v>1200</v>
      </c>
    </row>
    <row r="25" spans="1:10">
      <c r="A25" t="s">
        <v>64</v>
      </c>
      <c r="B25" t="s">
        <v>65</v>
      </c>
      <c r="C25" t="s">
        <v>19</v>
      </c>
      <c r="D25" t="s">
        <v>19</v>
      </c>
      <c r="E25">
        <v>1.2</v>
      </c>
      <c r="F25">
        <v>0.6</v>
      </c>
      <c r="G25">
        <v>1.2</v>
      </c>
      <c r="H25">
        <v>0.6</v>
      </c>
      <c r="I25">
        <v>1.2</v>
      </c>
      <c r="J25">
        <v>0.6</v>
      </c>
    </row>
    <row r="26" spans="1:10">
      <c r="A26" t="s">
        <v>66</v>
      </c>
      <c r="B26" t="s">
        <v>67</v>
      </c>
      <c r="C26" t="s">
        <v>19</v>
      </c>
      <c r="D26" t="s">
        <v>19</v>
      </c>
      <c r="E26">
        <v>24.5</v>
      </c>
      <c r="F26">
        <v>24.5</v>
      </c>
      <c r="G26">
        <v>24.5</v>
      </c>
      <c r="H26" t="s">
        <v>19</v>
      </c>
      <c r="I26">
        <v>24.5</v>
      </c>
      <c r="J26">
        <v>24.5</v>
      </c>
    </row>
    <row r="27" spans="1:10">
      <c r="A27" t="s">
        <v>68</v>
      </c>
      <c r="B27" t="s">
        <v>69</v>
      </c>
      <c r="C27" t="s">
        <v>19</v>
      </c>
      <c r="D27" t="s">
        <v>19</v>
      </c>
      <c r="E27">
        <v>0.7</v>
      </c>
      <c r="F27">
        <v>0</v>
      </c>
      <c r="G27" t="s">
        <v>19</v>
      </c>
      <c r="H27">
        <v>0</v>
      </c>
      <c r="I27">
        <v>0.7</v>
      </c>
      <c r="J27">
        <v>0</v>
      </c>
    </row>
    <row r="28" spans="1:10">
      <c r="A28" t="s">
        <v>70</v>
      </c>
      <c r="B28" t="s">
        <v>71</v>
      </c>
      <c r="C28" t="s">
        <v>19</v>
      </c>
      <c r="D28" t="s">
        <v>19</v>
      </c>
      <c r="E28">
        <v>22.7</v>
      </c>
      <c r="F28">
        <v>18.600000000000001</v>
      </c>
      <c r="G28" t="s">
        <v>19</v>
      </c>
      <c r="H28">
        <v>18.600000000000001</v>
      </c>
      <c r="I28">
        <v>22.7</v>
      </c>
      <c r="J28">
        <v>18.600000000000001</v>
      </c>
    </row>
    <row r="29" spans="1:10">
      <c r="A29" t="s">
        <v>72</v>
      </c>
      <c r="B29" t="s">
        <v>73</v>
      </c>
      <c r="C29" t="s">
        <v>19</v>
      </c>
      <c r="D29" t="s">
        <v>19</v>
      </c>
      <c r="E29">
        <v>15.6</v>
      </c>
      <c r="F29">
        <v>13.4</v>
      </c>
      <c r="G29">
        <v>15.6</v>
      </c>
      <c r="H29">
        <v>13.4</v>
      </c>
      <c r="I29">
        <v>15.6</v>
      </c>
      <c r="J29">
        <v>13.4</v>
      </c>
    </row>
    <row r="30" spans="1:10">
      <c r="A30" t="s">
        <v>74</v>
      </c>
      <c r="B30" t="s">
        <v>75</v>
      </c>
      <c r="C30">
        <v>404.6</v>
      </c>
      <c r="D30" t="s">
        <v>19</v>
      </c>
      <c r="E30">
        <v>404.6</v>
      </c>
      <c r="F30">
        <v>404.6</v>
      </c>
      <c r="G30">
        <v>425</v>
      </c>
      <c r="H30" t="s">
        <v>19</v>
      </c>
      <c r="I30">
        <v>425</v>
      </c>
      <c r="J30">
        <v>425</v>
      </c>
    </row>
    <row r="31" spans="1:10">
      <c r="A31" t="s">
        <v>76</v>
      </c>
      <c r="B31" t="s">
        <v>77</v>
      </c>
      <c r="C31">
        <v>18.2</v>
      </c>
      <c r="D31" t="s">
        <v>19</v>
      </c>
      <c r="E31">
        <v>18.2</v>
      </c>
      <c r="F31">
        <v>18.2</v>
      </c>
      <c r="G31">
        <v>27.1</v>
      </c>
      <c r="H31" t="s">
        <v>19</v>
      </c>
      <c r="I31">
        <v>27.1</v>
      </c>
      <c r="J31">
        <v>27.1</v>
      </c>
    </row>
    <row r="32" spans="1:10">
      <c r="A32" t="s">
        <v>78</v>
      </c>
      <c r="B32" t="s">
        <v>79</v>
      </c>
      <c r="C32" t="s">
        <v>19</v>
      </c>
      <c r="D32" t="s">
        <v>19</v>
      </c>
      <c r="E32">
        <v>46.7</v>
      </c>
      <c r="F32">
        <v>46.7</v>
      </c>
      <c r="G32">
        <v>46.7</v>
      </c>
      <c r="H32" t="s">
        <v>19</v>
      </c>
      <c r="I32">
        <v>46.7</v>
      </c>
      <c r="J32">
        <v>46.7</v>
      </c>
    </row>
    <row r="33" spans="1:10">
      <c r="A33" t="s">
        <v>80</v>
      </c>
      <c r="B33" t="s">
        <v>81</v>
      </c>
      <c r="C33" t="s">
        <v>19</v>
      </c>
      <c r="D33" t="s">
        <v>19</v>
      </c>
      <c r="E33">
        <v>13153.4</v>
      </c>
      <c r="F33">
        <v>13153.4</v>
      </c>
      <c r="G33">
        <v>13153.4</v>
      </c>
      <c r="H33" t="s">
        <v>19</v>
      </c>
      <c r="I33">
        <v>13153.4</v>
      </c>
      <c r="J33">
        <v>13153.4</v>
      </c>
    </row>
    <row r="34" spans="1:10">
      <c r="A34" t="s">
        <v>82</v>
      </c>
      <c r="B34" t="s">
        <v>83</v>
      </c>
      <c r="C34" t="s">
        <v>19</v>
      </c>
      <c r="D34" t="s">
        <v>19</v>
      </c>
      <c r="E34">
        <v>84.5</v>
      </c>
      <c r="F34">
        <v>1.3</v>
      </c>
      <c r="G34">
        <v>84.5</v>
      </c>
      <c r="H34">
        <v>1.3</v>
      </c>
      <c r="I34">
        <v>84.5</v>
      </c>
      <c r="J34">
        <v>1.3</v>
      </c>
    </row>
    <row r="35" spans="1:10">
      <c r="A35" t="s">
        <v>84</v>
      </c>
      <c r="B35" t="s">
        <v>85</v>
      </c>
      <c r="C35" t="s">
        <v>19</v>
      </c>
      <c r="D35" t="s">
        <v>19</v>
      </c>
      <c r="E35">
        <v>108</v>
      </c>
      <c r="F35">
        <v>80.7</v>
      </c>
      <c r="G35">
        <v>108</v>
      </c>
      <c r="H35">
        <v>80.7</v>
      </c>
      <c r="I35">
        <v>108</v>
      </c>
      <c r="J35">
        <v>80.7</v>
      </c>
    </row>
    <row r="36" spans="1:10">
      <c r="A36" t="s">
        <v>86</v>
      </c>
      <c r="B36" t="s">
        <v>87</v>
      </c>
      <c r="C36" t="s">
        <v>19</v>
      </c>
      <c r="D36" t="s">
        <v>19</v>
      </c>
      <c r="E36">
        <v>1375.6</v>
      </c>
      <c r="F36">
        <v>1109.5999999999999</v>
      </c>
      <c r="G36">
        <v>1375.6</v>
      </c>
      <c r="H36">
        <v>1109.5999999999999</v>
      </c>
      <c r="I36">
        <v>1375.6</v>
      </c>
      <c r="J36">
        <v>1109.5999999999999</v>
      </c>
    </row>
    <row r="37" spans="1:10">
      <c r="A37" t="s">
        <v>88</v>
      </c>
      <c r="B37" t="s">
        <v>89</v>
      </c>
      <c r="C37" t="s">
        <v>19</v>
      </c>
      <c r="D37" t="s">
        <v>19</v>
      </c>
      <c r="E37">
        <v>12</v>
      </c>
      <c r="F37">
        <v>7.1</v>
      </c>
      <c r="G37">
        <v>12</v>
      </c>
      <c r="H37">
        <v>7.1</v>
      </c>
      <c r="I37">
        <v>12</v>
      </c>
      <c r="J37">
        <v>7.1</v>
      </c>
    </row>
    <row r="38" spans="1:10">
      <c r="A38" t="s">
        <v>90</v>
      </c>
      <c r="B38" t="s">
        <v>91</v>
      </c>
      <c r="C38" t="s">
        <v>19</v>
      </c>
      <c r="D38" t="s">
        <v>19</v>
      </c>
      <c r="E38">
        <v>0.1</v>
      </c>
      <c r="F38">
        <v>0</v>
      </c>
      <c r="G38" t="s">
        <v>19</v>
      </c>
      <c r="H38">
        <v>0</v>
      </c>
      <c r="I38">
        <v>0.1</v>
      </c>
      <c r="J38">
        <v>0</v>
      </c>
    </row>
    <row r="39" spans="1:10">
      <c r="A39" t="s">
        <v>92</v>
      </c>
      <c r="B39" t="s">
        <v>93</v>
      </c>
      <c r="C39" t="s">
        <v>19</v>
      </c>
      <c r="D39" t="s">
        <v>19</v>
      </c>
      <c r="E39">
        <v>169.4</v>
      </c>
      <c r="F39">
        <v>169.4</v>
      </c>
      <c r="G39">
        <v>169.4</v>
      </c>
      <c r="H39" t="s">
        <v>19</v>
      </c>
      <c r="I39">
        <v>169.4</v>
      </c>
      <c r="J39">
        <v>169.4</v>
      </c>
    </row>
    <row r="40" spans="1:10">
      <c r="A40" t="s">
        <v>94</v>
      </c>
      <c r="B40" t="s">
        <v>95</v>
      </c>
      <c r="C40" t="s">
        <v>19</v>
      </c>
      <c r="D40" t="s">
        <v>19</v>
      </c>
      <c r="E40">
        <v>-1.3</v>
      </c>
      <c r="F40">
        <v>-1.8</v>
      </c>
      <c r="G40" t="s">
        <v>19</v>
      </c>
      <c r="H40">
        <v>-1.8</v>
      </c>
      <c r="I40">
        <v>-1.3</v>
      </c>
      <c r="J40">
        <v>-1.8</v>
      </c>
    </row>
    <row r="41" spans="1:10">
      <c r="A41" t="s">
        <v>96</v>
      </c>
      <c r="B41" t="s">
        <v>97</v>
      </c>
      <c r="C41" t="s">
        <v>19</v>
      </c>
      <c r="D41" t="s">
        <v>19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</row>
    <row r="42" spans="1:10">
      <c r="A42" t="s">
        <v>98</v>
      </c>
      <c r="B42" t="s">
        <v>99</v>
      </c>
      <c r="C42" t="s">
        <v>19</v>
      </c>
      <c r="D42" t="s">
        <v>19</v>
      </c>
      <c r="E42">
        <v>9.1</v>
      </c>
      <c r="F42">
        <v>9.1</v>
      </c>
      <c r="G42">
        <v>9.1</v>
      </c>
      <c r="H42" t="s">
        <v>19</v>
      </c>
      <c r="I42">
        <v>9.1</v>
      </c>
      <c r="J42">
        <v>9.1</v>
      </c>
    </row>
    <row r="43" spans="1:10">
      <c r="A43" t="s">
        <v>100</v>
      </c>
      <c r="B43" t="s">
        <v>101</v>
      </c>
      <c r="C43" t="s">
        <v>19</v>
      </c>
      <c r="D43" t="s">
        <v>19</v>
      </c>
      <c r="E43">
        <v>35.6</v>
      </c>
      <c r="F43">
        <v>35.6</v>
      </c>
      <c r="G43" t="s">
        <v>19</v>
      </c>
      <c r="H43" t="s">
        <v>19</v>
      </c>
      <c r="I43">
        <v>34</v>
      </c>
      <c r="J43">
        <v>34</v>
      </c>
    </row>
    <row r="44" spans="1:10">
      <c r="A44" t="s">
        <v>102</v>
      </c>
      <c r="B44" t="s">
        <v>103</v>
      </c>
      <c r="C44" t="s">
        <v>19</v>
      </c>
      <c r="D44" t="s">
        <v>19</v>
      </c>
      <c r="E44">
        <v>2.8</v>
      </c>
      <c r="F44">
        <v>1.9</v>
      </c>
      <c r="G44">
        <v>2.8</v>
      </c>
      <c r="H44">
        <v>1.9</v>
      </c>
      <c r="I44">
        <v>2.8</v>
      </c>
      <c r="J44">
        <v>1.9</v>
      </c>
    </row>
    <row r="45" spans="1:10">
      <c r="A45" t="s">
        <v>104</v>
      </c>
      <c r="B45" t="s">
        <v>105</v>
      </c>
      <c r="C45" t="s">
        <v>19</v>
      </c>
      <c r="D45" t="s">
        <v>19</v>
      </c>
      <c r="E45">
        <v>0.2</v>
      </c>
      <c r="F45">
        <v>0.1</v>
      </c>
      <c r="G45" t="s">
        <v>19</v>
      </c>
      <c r="H45">
        <v>0.1</v>
      </c>
      <c r="I45">
        <v>0.2</v>
      </c>
      <c r="J45">
        <v>0.1</v>
      </c>
    </row>
    <row r="46" spans="1:10">
      <c r="A46" t="s">
        <v>106</v>
      </c>
      <c r="B46" t="s">
        <v>107</v>
      </c>
      <c r="C46" t="s">
        <v>19</v>
      </c>
      <c r="D46" t="s">
        <v>19</v>
      </c>
      <c r="E46">
        <v>47.4</v>
      </c>
      <c r="F46">
        <v>37.200000000000003</v>
      </c>
      <c r="G46">
        <v>47.4</v>
      </c>
      <c r="H46">
        <v>37.200000000000003</v>
      </c>
      <c r="I46">
        <v>47.4</v>
      </c>
      <c r="J46">
        <v>37.200000000000003</v>
      </c>
    </row>
    <row r="47" spans="1:10">
      <c r="A47" t="s">
        <v>108</v>
      </c>
      <c r="B47" t="s">
        <v>109</v>
      </c>
      <c r="C47" t="s">
        <v>19</v>
      </c>
      <c r="D47" t="s">
        <v>19</v>
      </c>
      <c r="E47">
        <v>288.10000000000002</v>
      </c>
      <c r="F47">
        <v>241</v>
      </c>
      <c r="G47">
        <v>288.10000000000002</v>
      </c>
      <c r="H47">
        <v>241</v>
      </c>
      <c r="I47">
        <v>288.10000000000002</v>
      </c>
      <c r="J47">
        <v>241</v>
      </c>
    </row>
    <row r="48" spans="1:10">
      <c r="A48" t="s">
        <v>110</v>
      </c>
      <c r="B48" t="s">
        <v>111</v>
      </c>
      <c r="C48">
        <v>121.2</v>
      </c>
      <c r="D48">
        <v>110.6</v>
      </c>
      <c r="E48">
        <v>121.2</v>
      </c>
      <c r="F48">
        <v>110.6</v>
      </c>
      <c r="G48" t="s">
        <v>19</v>
      </c>
      <c r="H48" t="s">
        <v>19</v>
      </c>
      <c r="I48">
        <v>91.1</v>
      </c>
      <c r="J48">
        <v>91.1</v>
      </c>
    </row>
    <row r="49" spans="1:10">
      <c r="A49" t="s">
        <v>112</v>
      </c>
      <c r="B49" t="s">
        <v>113</v>
      </c>
      <c r="C49" t="s">
        <v>19</v>
      </c>
      <c r="D49" t="s">
        <v>19</v>
      </c>
      <c r="E49">
        <v>435.5</v>
      </c>
      <c r="F49">
        <v>344.3</v>
      </c>
      <c r="G49" t="s">
        <v>19</v>
      </c>
      <c r="H49">
        <v>344.3</v>
      </c>
      <c r="I49">
        <v>435.5</v>
      </c>
      <c r="J49">
        <v>344.3</v>
      </c>
    </row>
    <row r="50" spans="1:10">
      <c r="A50" t="s">
        <v>114</v>
      </c>
      <c r="B50" t="s">
        <v>115</v>
      </c>
      <c r="C50" t="s">
        <v>19</v>
      </c>
      <c r="D50" t="s">
        <v>19</v>
      </c>
      <c r="E50">
        <v>13.8</v>
      </c>
      <c r="F50">
        <v>11.6</v>
      </c>
      <c r="G50">
        <v>13.8</v>
      </c>
      <c r="H50">
        <v>11.6</v>
      </c>
      <c r="I50">
        <v>13.8</v>
      </c>
      <c r="J50">
        <v>11.6</v>
      </c>
    </row>
    <row r="51" spans="1:10">
      <c r="A51" t="s">
        <v>116</v>
      </c>
      <c r="B51" t="s">
        <v>117</v>
      </c>
      <c r="C51" t="s">
        <v>19</v>
      </c>
      <c r="D51" t="s">
        <v>19</v>
      </c>
      <c r="E51">
        <v>348.2</v>
      </c>
      <c r="F51">
        <v>127.1</v>
      </c>
      <c r="G51">
        <v>348.2</v>
      </c>
      <c r="H51">
        <v>127.1</v>
      </c>
      <c r="I51">
        <v>348.2</v>
      </c>
      <c r="J51">
        <v>127.1</v>
      </c>
    </row>
    <row r="52" spans="1:10">
      <c r="A52" t="s">
        <v>118</v>
      </c>
      <c r="B52" t="s">
        <v>119</v>
      </c>
      <c r="C52" t="s">
        <v>19</v>
      </c>
      <c r="D52" t="s">
        <v>19</v>
      </c>
      <c r="E52">
        <v>2093.3000000000002</v>
      </c>
      <c r="F52">
        <v>2093.3000000000002</v>
      </c>
      <c r="G52">
        <v>2093.3000000000002</v>
      </c>
      <c r="H52" t="s">
        <v>19</v>
      </c>
      <c r="I52">
        <v>2093.3000000000002</v>
      </c>
      <c r="J52">
        <v>2093.3000000000002</v>
      </c>
    </row>
    <row r="53" spans="1:10">
      <c r="A53" t="s">
        <v>120</v>
      </c>
      <c r="B53" t="s">
        <v>121</v>
      </c>
      <c r="C53" t="s">
        <v>19</v>
      </c>
      <c r="D53" t="s">
        <v>19</v>
      </c>
      <c r="E53">
        <v>0.6</v>
      </c>
      <c r="F53">
        <v>0.1</v>
      </c>
      <c r="G53">
        <v>0.6</v>
      </c>
      <c r="H53">
        <v>0.1</v>
      </c>
      <c r="I53">
        <v>0.6</v>
      </c>
      <c r="J53">
        <v>0.1</v>
      </c>
    </row>
    <row r="54" spans="1:10">
      <c r="A54" t="s">
        <v>122</v>
      </c>
      <c r="B54" t="s">
        <v>123</v>
      </c>
      <c r="C54" t="s">
        <v>19</v>
      </c>
      <c r="D54" t="s">
        <v>19</v>
      </c>
      <c r="E54">
        <v>0.2</v>
      </c>
      <c r="F54">
        <v>0.1</v>
      </c>
      <c r="G54" t="s">
        <v>19</v>
      </c>
      <c r="H54">
        <v>0.1</v>
      </c>
      <c r="I54">
        <v>0.2</v>
      </c>
      <c r="J54">
        <v>0.1</v>
      </c>
    </row>
    <row r="55" spans="1:10">
      <c r="A55" t="s">
        <v>124</v>
      </c>
      <c r="B55" t="s">
        <v>125</v>
      </c>
      <c r="C55" t="s">
        <v>19</v>
      </c>
      <c r="D55" t="s">
        <v>19</v>
      </c>
      <c r="E55">
        <v>0</v>
      </c>
      <c r="F55">
        <v>0</v>
      </c>
      <c r="G55">
        <v>0</v>
      </c>
      <c r="H55" t="s">
        <v>19</v>
      </c>
      <c r="I55">
        <v>0</v>
      </c>
      <c r="J55">
        <v>0</v>
      </c>
    </row>
    <row r="56" spans="1:10">
      <c r="A56" t="s">
        <v>126</v>
      </c>
      <c r="B56" t="s">
        <v>127</v>
      </c>
      <c r="C56">
        <v>155.30000000000001</v>
      </c>
      <c r="D56" t="s">
        <v>19</v>
      </c>
      <c r="E56">
        <v>155.30000000000001</v>
      </c>
      <c r="F56">
        <v>155.30000000000001</v>
      </c>
      <c r="G56">
        <v>261.60000000000002</v>
      </c>
      <c r="H56" t="s">
        <v>19</v>
      </c>
      <c r="I56">
        <v>261.60000000000002</v>
      </c>
      <c r="J56">
        <v>261.60000000000002</v>
      </c>
    </row>
    <row r="57" spans="1:10">
      <c r="A57" t="s">
        <v>128</v>
      </c>
      <c r="B57" t="s">
        <v>129</v>
      </c>
      <c r="C57" t="s">
        <v>19</v>
      </c>
      <c r="D57" t="s">
        <v>19</v>
      </c>
      <c r="E57">
        <v>29.3</v>
      </c>
      <c r="F57">
        <v>20.9</v>
      </c>
      <c r="G57">
        <v>29.3</v>
      </c>
      <c r="H57">
        <v>20.9</v>
      </c>
      <c r="I57">
        <v>29.3</v>
      </c>
      <c r="J57">
        <v>20.9</v>
      </c>
    </row>
    <row r="58" spans="1:10">
      <c r="A58" t="s">
        <v>130</v>
      </c>
      <c r="B58" t="s">
        <v>131</v>
      </c>
      <c r="C58" t="s">
        <v>19</v>
      </c>
      <c r="D58" t="s">
        <v>19</v>
      </c>
      <c r="E58">
        <v>87</v>
      </c>
      <c r="F58">
        <v>47.6</v>
      </c>
      <c r="G58">
        <v>87</v>
      </c>
      <c r="H58">
        <v>47.6</v>
      </c>
      <c r="I58">
        <v>87</v>
      </c>
      <c r="J58">
        <v>47.6</v>
      </c>
    </row>
    <row r="59" spans="1:10">
      <c r="A59" t="s">
        <v>132</v>
      </c>
      <c r="B59" t="s">
        <v>133</v>
      </c>
      <c r="C59" t="s">
        <v>19</v>
      </c>
      <c r="D59" t="s">
        <v>19</v>
      </c>
      <c r="E59">
        <v>33.799999999999997</v>
      </c>
      <c r="F59">
        <v>32.1</v>
      </c>
      <c r="G59">
        <v>33.799999999999997</v>
      </c>
      <c r="H59">
        <v>32.1</v>
      </c>
      <c r="I59">
        <v>33.799999999999997</v>
      </c>
      <c r="J59">
        <v>32.1</v>
      </c>
    </row>
    <row r="60" spans="1:10">
      <c r="A60" t="s">
        <v>134</v>
      </c>
      <c r="B60" t="s">
        <v>135</v>
      </c>
      <c r="C60" t="s">
        <v>19</v>
      </c>
      <c r="D60" t="s">
        <v>19</v>
      </c>
      <c r="E60">
        <v>6.4</v>
      </c>
      <c r="F60">
        <v>3.5</v>
      </c>
      <c r="G60">
        <v>6.4</v>
      </c>
      <c r="H60">
        <v>3.5</v>
      </c>
      <c r="I60">
        <v>6.4</v>
      </c>
      <c r="J60">
        <v>3.5</v>
      </c>
    </row>
    <row r="61" spans="1:10">
      <c r="A61" t="s">
        <v>136</v>
      </c>
      <c r="B61" t="s">
        <v>137</v>
      </c>
      <c r="C61" t="s">
        <v>19</v>
      </c>
      <c r="D61" t="s">
        <v>19</v>
      </c>
      <c r="E61">
        <v>16.600000000000001</v>
      </c>
      <c r="F61">
        <v>13</v>
      </c>
      <c r="G61">
        <v>16.600000000000001</v>
      </c>
      <c r="H61">
        <v>13</v>
      </c>
      <c r="I61">
        <v>16.600000000000001</v>
      </c>
      <c r="J61">
        <v>13</v>
      </c>
    </row>
    <row r="62" spans="1:10">
      <c r="A62" t="s">
        <v>138</v>
      </c>
      <c r="B62" t="s">
        <v>139</v>
      </c>
      <c r="C62" t="s">
        <v>19</v>
      </c>
      <c r="D62" t="s">
        <v>19</v>
      </c>
      <c r="E62">
        <v>13.1</v>
      </c>
      <c r="F62">
        <v>8.6999999999999993</v>
      </c>
      <c r="G62" t="s">
        <v>19</v>
      </c>
      <c r="H62">
        <v>8.6999999999999993</v>
      </c>
      <c r="I62">
        <v>13.1</v>
      </c>
      <c r="J62">
        <v>8.6999999999999993</v>
      </c>
    </row>
    <row r="63" spans="1:10">
      <c r="A63" t="s">
        <v>140</v>
      </c>
      <c r="B63" t="s">
        <v>141</v>
      </c>
      <c r="C63" t="s">
        <v>19</v>
      </c>
      <c r="D63" t="s">
        <v>19</v>
      </c>
      <c r="E63">
        <v>2.4</v>
      </c>
      <c r="F63">
        <v>0.1</v>
      </c>
      <c r="G63" t="s">
        <v>19</v>
      </c>
      <c r="H63">
        <v>0.1</v>
      </c>
      <c r="I63">
        <v>2.4</v>
      </c>
      <c r="J63">
        <v>0.1</v>
      </c>
    </row>
    <row r="64" spans="1:10">
      <c r="A64" t="s">
        <v>142</v>
      </c>
      <c r="B64" t="s">
        <v>143</v>
      </c>
      <c r="C64" t="s">
        <v>19</v>
      </c>
      <c r="D64" t="s">
        <v>19</v>
      </c>
      <c r="E64">
        <v>66.900000000000006</v>
      </c>
      <c r="F64">
        <v>58.6</v>
      </c>
      <c r="G64">
        <v>66.900000000000006</v>
      </c>
      <c r="H64">
        <v>58.6</v>
      </c>
      <c r="I64">
        <v>66.900000000000006</v>
      </c>
      <c r="J64">
        <v>58.6</v>
      </c>
    </row>
    <row r="65" spans="1:10">
      <c r="A65" t="s">
        <v>144</v>
      </c>
      <c r="B65" t="s">
        <v>145</v>
      </c>
      <c r="C65" t="s">
        <v>19</v>
      </c>
      <c r="D65" t="s">
        <v>19</v>
      </c>
      <c r="E65">
        <v>16.600000000000001</v>
      </c>
      <c r="F65">
        <v>16.600000000000001</v>
      </c>
      <c r="G65" t="s">
        <v>19</v>
      </c>
      <c r="H65" t="s">
        <v>19</v>
      </c>
      <c r="I65">
        <v>16.600000000000001</v>
      </c>
      <c r="J65">
        <v>16.600000000000001</v>
      </c>
    </row>
    <row r="66" spans="1:10">
      <c r="A66" t="s">
        <v>146</v>
      </c>
      <c r="B66" t="s">
        <v>147</v>
      </c>
      <c r="C66" t="s">
        <v>19</v>
      </c>
      <c r="D66" t="s">
        <v>19</v>
      </c>
      <c r="E66">
        <v>35.1</v>
      </c>
      <c r="F66">
        <v>30.4</v>
      </c>
      <c r="G66" t="s">
        <v>19</v>
      </c>
      <c r="H66">
        <v>30.4</v>
      </c>
      <c r="I66">
        <v>35.1</v>
      </c>
      <c r="J66">
        <v>30.4</v>
      </c>
    </row>
    <row r="67" spans="1:10">
      <c r="A67" t="s">
        <v>148</v>
      </c>
      <c r="B67" t="s">
        <v>149</v>
      </c>
      <c r="C67" t="s">
        <v>19</v>
      </c>
      <c r="D67" t="s">
        <v>19</v>
      </c>
      <c r="E67">
        <v>18.3</v>
      </c>
      <c r="F67">
        <v>13.4</v>
      </c>
      <c r="G67">
        <v>18.3</v>
      </c>
      <c r="H67">
        <v>13.4</v>
      </c>
      <c r="I67">
        <v>18.3</v>
      </c>
      <c r="J67">
        <v>13.4</v>
      </c>
    </row>
    <row r="68" spans="1:10">
      <c r="A68" t="s">
        <v>150</v>
      </c>
      <c r="B68" t="s">
        <v>151</v>
      </c>
      <c r="C68" t="s">
        <v>19</v>
      </c>
      <c r="D68" t="s">
        <v>19</v>
      </c>
      <c r="E68">
        <v>1960.7</v>
      </c>
      <c r="F68">
        <v>1639.7</v>
      </c>
      <c r="G68">
        <v>1960.7</v>
      </c>
      <c r="H68">
        <v>1639.7</v>
      </c>
      <c r="I68">
        <v>1960.7</v>
      </c>
      <c r="J68">
        <v>1639.7</v>
      </c>
    </row>
    <row r="69" spans="1:10">
      <c r="A69" t="s">
        <v>152</v>
      </c>
      <c r="B69" t="s">
        <v>153</v>
      </c>
      <c r="C69" t="s">
        <v>19</v>
      </c>
      <c r="D69" t="s">
        <v>19</v>
      </c>
      <c r="E69">
        <v>4057.5</v>
      </c>
      <c r="F69">
        <v>4698.2</v>
      </c>
      <c r="G69" t="s">
        <v>19</v>
      </c>
      <c r="H69">
        <v>4698.2</v>
      </c>
      <c r="I69">
        <v>4057.5</v>
      </c>
      <c r="J69">
        <v>4698.2</v>
      </c>
    </row>
    <row r="70" spans="1:10">
      <c r="A70" t="s">
        <v>154</v>
      </c>
      <c r="B70" t="s">
        <v>155</v>
      </c>
      <c r="C70" t="s">
        <v>19</v>
      </c>
      <c r="D70" t="s">
        <v>19</v>
      </c>
      <c r="E70">
        <v>909.3</v>
      </c>
      <c r="F70">
        <v>909.3</v>
      </c>
      <c r="G70" t="s">
        <v>19</v>
      </c>
      <c r="H70" t="s">
        <v>19</v>
      </c>
      <c r="I70">
        <v>909.3</v>
      </c>
      <c r="J70">
        <v>909.3</v>
      </c>
    </row>
    <row r="71" spans="1:10">
      <c r="A71" t="s">
        <v>156</v>
      </c>
      <c r="B71" t="s">
        <v>157</v>
      </c>
      <c r="C71" t="s">
        <v>19</v>
      </c>
      <c r="D71" t="s">
        <v>19</v>
      </c>
      <c r="E71">
        <v>342.4</v>
      </c>
      <c r="F71">
        <v>342.4</v>
      </c>
      <c r="G71" t="s">
        <v>19</v>
      </c>
      <c r="H71" t="s">
        <v>19</v>
      </c>
      <c r="I71">
        <v>342.4</v>
      </c>
      <c r="J71">
        <v>342.4</v>
      </c>
    </row>
    <row r="72" spans="1:10">
      <c r="A72" t="s">
        <v>158</v>
      </c>
      <c r="B72" t="s">
        <v>159</v>
      </c>
      <c r="C72" t="s">
        <v>19</v>
      </c>
      <c r="D72" t="s">
        <v>19</v>
      </c>
      <c r="E72">
        <v>6</v>
      </c>
      <c r="F72">
        <v>6</v>
      </c>
      <c r="G72">
        <v>6</v>
      </c>
      <c r="H72" t="s">
        <v>19</v>
      </c>
      <c r="I72">
        <v>6</v>
      </c>
      <c r="J72">
        <v>6</v>
      </c>
    </row>
    <row r="73" spans="1:10">
      <c r="A73" t="s">
        <v>160</v>
      </c>
      <c r="B73" t="s">
        <v>161</v>
      </c>
      <c r="C73" t="s">
        <v>19</v>
      </c>
      <c r="D73" t="s">
        <v>19</v>
      </c>
      <c r="E73">
        <v>57.7</v>
      </c>
      <c r="F73">
        <v>57.7</v>
      </c>
      <c r="G73">
        <v>57.7</v>
      </c>
      <c r="H73" t="s">
        <v>19</v>
      </c>
      <c r="I73">
        <v>57.7</v>
      </c>
      <c r="J73">
        <v>57.7</v>
      </c>
    </row>
    <row r="74" spans="1:10">
      <c r="A74" t="s">
        <v>162</v>
      </c>
      <c r="B74" t="s">
        <v>163</v>
      </c>
      <c r="C74" t="s">
        <v>19</v>
      </c>
      <c r="D74" t="s">
        <v>19</v>
      </c>
      <c r="E74">
        <v>7.4</v>
      </c>
      <c r="F74">
        <v>7.1</v>
      </c>
      <c r="G74">
        <v>7.4</v>
      </c>
      <c r="H74">
        <v>7.1</v>
      </c>
      <c r="I74">
        <v>7.4</v>
      </c>
      <c r="J74">
        <v>7.1</v>
      </c>
    </row>
    <row r="75" spans="1:10">
      <c r="A75" t="s">
        <v>164</v>
      </c>
      <c r="B75" t="s">
        <v>165</v>
      </c>
      <c r="C75" t="s">
        <v>19</v>
      </c>
      <c r="D75" t="s">
        <v>19</v>
      </c>
      <c r="E75">
        <v>41.8</v>
      </c>
      <c r="F75">
        <v>30.4</v>
      </c>
      <c r="G75">
        <v>41.8</v>
      </c>
      <c r="H75">
        <v>30.4</v>
      </c>
      <c r="I75">
        <v>41.8</v>
      </c>
      <c r="J75">
        <v>30.4</v>
      </c>
    </row>
    <row r="76" spans="1:10">
      <c r="A76" t="s">
        <v>166</v>
      </c>
      <c r="B76" t="s">
        <v>167</v>
      </c>
      <c r="C76">
        <v>570</v>
      </c>
      <c r="D76" t="s">
        <v>19</v>
      </c>
      <c r="E76">
        <v>570</v>
      </c>
      <c r="F76">
        <v>570</v>
      </c>
      <c r="G76">
        <v>760.3</v>
      </c>
      <c r="H76" t="s">
        <v>19</v>
      </c>
      <c r="I76">
        <v>760.3</v>
      </c>
      <c r="J76">
        <v>760.3</v>
      </c>
    </row>
    <row r="77" spans="1:10">
      <c r="A77" t="s">
        <v>168</v>
      </c>
      <c r="B77" t="s">
        <v>169</v>
      </c>
      <c r="C77" t="s">
        <v>19</v>
      </c>
      <c r="D77" t="s">
        <v>19</v>
      </c>
      <c r="E77">
        <v>323.2</v>
      </c>
      <c r="F77">
        <v>285.10000000000002</v>
      </c>
      <c r="G77">
        <v>323.2</v>
      </c>
      <c r="H77">
        <v>285.10000000000002</v>
      </c>
      <c r="I77">
        <v>323.2</v>
      </c>
      <c r="J77">
        <v>285.10000000000002</v>
      </c>
    </row>
    <row r="78" spans="1:10">
      <c r="A78" t="s">
        <v>170</v>
      </c>
      <c r="B78" t="s">
        <v>171</v>
      </c>
      <c r="C78">
        <v>200</v>
      </c>
      <c r="D78">
        <v>139.80000000000001</v>
      </c>
      <c r="E78">
        <v>200</v>
      </c>
      <c r="F78">
        <v>139.80000000000001</v>
      </c>
      <c r="G78" t="s">
        <v>19</v>
      </c>
      <c r="H78">
        <v>100.4</v>
      </c>
      <c r="I78">
        <v>146.19999999999999</v>
      </c>
      <c r="J78">
        <v>100.4</v>
      </c>
    </row>
    <row r="79" spans="1:10">
      <c r="A79" t="s">
        <v>172</v>
      </c>
      <c r="B79" t="s">
        <v>173</v>
      </c>
      <c r="C79" t="s">
        <v>19</v>
      </c>
      <c r="D79" t="s">
        <v>19</v>
      </c>
      <c r="E79">
        <v>12.5</v>
      </c>
      <c r="F79">
        <v>8.4</v>
      </c>
      <c r="G79">
        <v>12.5</v>
      </c>
      <c r="H79">
        <v>8.4</v>
      </c>
      <c r="I79">
        <v>12.5</v>
      </c>
      <c r="J79">
        <v>8.4</v>
      </c>
    </row>
    <row r="80" spans="1:10">
      <c r="A80" t="s">
        <v>174</v>
      </c>
      <c r="B80" t="s">
        <v>175</v>
      </c>
      <c r="C80" t="s">
        <v>19</v>
      </c>
      <c r="D80" t="s">
        <v>19</v>
      </c>
      <c r="E80">
        <v>156.4</v>
      </c>
      <c r="F80">
        <v>91.9</v>
      </c>
      <c r="G80" t="s">
        <v>19</v>
      </c>
      <c r="H80">
        <v>91.9</v>
      </c>
      <c r="I80">
        <v>156.4</v>
      </c>
      <c r="J80">
        <v>91.9</v>
      </c>
    </row>
    <row r="81" spans="1:10">
      <c r="A81" t="s">
        <v>176</v>
      </c>
      <c r="B81" t="s">
        <v>177</v>
      </c>
      <c r="C81" t="s">
        <v>19</v>
      </c>
      <c r="D81" t="s">
        <v>19</v>
      </c>
      <c r="E81">
        <v>0.1</v>
      </c>
      <c r="F81">
        <v>0.1</v>
      </c>
      <c r="G81">
        <v>0.1</v>
      </c>
      <c r="H81">
        <v>0.1</v>
      </c>
      <c r="I81">
        <v>0.1</v>
      </c>
      <c r="J81">
        <v>0.1</v>
      </c>
    </row>
    <row r="82" spans="1:10">
      <c r="A82" t="s">
        <v>178</v>
      </c>
      <c r="B82" t="s">
        <v>179</v>
      </c>
      <c r="C82" t="s">
        <v>19</v>
      </c>
      <c r="D82" t="s">
        <v>19</v>
      </c>
      <c r="E82">
        <v>0.3</v>
      </c>
      <c r="F82">
        <v>0.1</v>
      </c>
      <c r="G82" t="s">
        <v>19</v>
      </c>
      <c r="H82">
        <v>0.1</v>
      </c>
      <c r="I82">
        <v>0.3</v>
      </c>
      <c r="J82">
        <v>0.1</v>
      </c>
    </row>
    <row r="83" spans="1:10">
      <c r="A83" t="s">
        <v>180</v>
      </c>
      <c r="B83" t="s">
        <v>181</v>
      </c>
      <c r="C83" t="s">
        <v>19</v>
      </c>
      <c r="D83" t="s">
        <v>19</v>
      </c>
      <c r="E83">
        <v>436.6</v>
      </c>
      <c r="F83">
        <v>436.6</v>
      </c>
      <c r="G83">
        <v>436.6</v>
      </c>
      <c r="H83" t="s">
        <v>19</v>
      </c>
      <c r="I83">
        <v>436.6</v>
      </c>
      <c r="J83">
        <v>436.6</v>
      </c>
    </row>
    <row r="84" spans="1:10">
      <c r="A84" t="s">
        <v>182</v>
      </c>
      <c r="B84" t="s">
        <v>183</v>
      </c>
      <c r="C84" t="s">
        <v>19</v>
      </c>
      <c r="D84" t="s">
        <v>19</v>
      </c>
      <c r="E84">
        <v>151.69999999999999</v>
      </c>
      <c r="F84">
        <v>151.69999999999999</v>
      </c>
      <c r="G84">
        <v>151.69999999999999</v>
      </c>
      <c r="H84" t="s">
        <v>19</v>
      </c>
      <c r="I84">
        <v>151.69999999999999</v>
      </c>
      <c r="J84">
        <v>151.69999999999999</v>
      </c>
    </row>
    <row r="85" spans="1:10">
      <c r="A85" t="s">
        <v>184</v>
      </c>
      <c r="B85" t="s">
        <v>185</v>
      </c>
      <c r="C85" t="s">
        <v>19</v>
      </c>
      <c r="D85" t="s">
        <v>19</v>
      </c>
      <c r="E85">
        <v>41.8</v>
      </c>
      <c r="F85">
        <v>41.8</v>
      </c>
      <c r="G85">
        <v>41.8</v>
      </c>
      <c r="H85" t="s">
        <v>19</v>
      </c>
      <c r="I85">
        <v>41.8</v>
      </c>
      <c r="J85">
        <v>41.8</v>
      </c>
    </row>
    <row r="86" spans="1:10">
      <c r="A86" t="s">
        <v>186</v>
      </c>
      <c r="B86" t="s">
        <v>187</v>
      </c>
      <c r="C86" t="s">
        <v>19</v>
      </c>
      <c r="D86" t="s">
        <v>19</v>
      </c>
      <c r="E86">
        <v>34.6</v>
      </c>
      <c r="F86">
        <v>30.3</v>
      </c>
      <c r="G86">
        <v>34.6</v>
      </c>
      <c r="H86">
        <v>30.3</v>
      </c>
      <c r="I86">
        <v>34.6</v>
      </c>
      <c r="J86">
        <v>30.3</v>
      </c>
    </row>
    <row r="87" spans="1:10">
      <c r="A87" t="s">
        <v>188</v>
      </c>
      <c r="B87" t="s">
        <v>189</v>
      </c>
      <c r="C87" t="s">
        <v>19</v>
      </c>
      <c r="D87" t="s">
        <v>19</v>
      </c>
      <c r="E87">
        <v>11.2</v>
      </c>
      <c r="F87">
        <v>4.5</v>
      </c>
      <c r="G87">
        <v>11.2</v>
      </c>
      <c r="H87">
        <v>4.5</v>
      </c>
      <c r="I87">
        <v>11.2</v>
      </c>
      <c r="J87">
        <v>4.5</v>
      </c>
    </row>
    <row r="88" spans="1:10">
      <c r="A88" t="s">
        <v>190</v>
      </c>
      <c r="B88" t="s">
        <v>191</v>
      </c>
      <c r="C88" t="s">
        <v>19</v>
      </c>
      <c r="D88" t="s">
        <v>19</v>
      </c>
      <c r="E88">
        <v>51.3</v>
      </c>
      <c r="F88">
        <v>51.3</v>
      </c>
      <c r="G88" t="s">
        <v>19</v>
      </c>
      <c r="H88" t="s">
        <v>19</v>
      </c>
      <c r="I88">
        <v>51.3</v>
      </c>
      <c r="J88">
        <v>51.3</v>
      </c>
    </row>
    <row r="89" spans="1:10">
      <c r="A89" t="s">
        <v>192</v>
      </c>
      <c r="B89" t="s">
        <v>193</v>
      </c>
      <c r="C89" t="s">
        <v>19</v>
      </c>
      <c r="D89">
        <v>0.5</v>
      </c>
      <c r="E89">
        <v>0.8</v>
      </c>
      <c r="F89">
        <v>0.5</v>
      </c>
      <c r="G89" t="s">
        <v>19</v>
      </c>
      <c r="H89">
        <v>0.7</v>
      </c>
      <c r="I89">
        <v>0.7</v>
      </c>
      <c r="J89">
        <v>0.7</v>
      </c>
    </row>
    <row r="90" spans="1:10">
      <c r="A90" t="s">
        <v>194</v>
      </c>
      <c r="B90" t="s">
        <v>195</v>
      </c>
      <c r="C90" t="s">
        <v>19</v>
      </c>
      <c r="D90" t="s">
        <v>19</v>
      </c>
      <c r="E90">
        <v>0</v>
      </c>
      <c r="F90">
        <v>0</v>
      </c>
      <c r="G90">
        <v>0</v>
      </c>
      <c r="H90" t="s">
        <v>19</v>
      </c>
      <c r="I90">
        <v>0</v>
      </c>
      <c r="J90">
        <v>0</v>
      </c>
    </row>
    <row r="91" spans="1:10">
      <c r="A91" t="s">
        <v>196</v>
      </c>
      <c r="B91" t="s">
        <v>197</v>
      </c>
      <c r="C91" t="s">
        <v>19</v>
      </c>
      <c r="D91" t="s">
        <v>19</v>
      </c>
      <c r="E91">
        <v>64.599999999999994</v>
      </c>
      <c r="F91">
        <v>57.5</v>
      </c>
      <c r="G91">
        <v>64.599999999999994</v>
      </c>
      <c r="H91">
        <v>57.5</v>
      </c>
      <c r="I91">
        <v>64.599999999999994</v>
      </c>
      <c r="J91">
        <v>57.5</v>
      </c>
    </row>
    <row r="92" spans="1:10">
      <c r="A92" t="s">
        <v>198</v>
      </c>
      <c r="B92" t="s">
        <v>199</v>
      </c>
      <c r="C92" t="s">
        <v>19</v>
      </c>
      <c r="D92" t="s">
        <v>19</v>
      </c>
      <c r="E92">
        <v>5.4</v>
      </c>
      <c r="F92">
        <v>3.9</v>
      </c>
      <c r="G92">
        <v>5.4</v>
      </c>
      <c r="H92">
        <v>3.9</v>
      </c>
      <c r="I92">
        <v>5.4</v>
      </c>
      <c r="J92">
        <v>3.9</v>
      </c>
    </row>
    <row r="93" spans="1:10">
      <c r="A93" t="s">
        <v>200</v>
      </c>
      <c r="B93" t="s">
        <v>201</v>
      </c>
      <c r="C93" t="s">
        <v>19</v>
      </c>
      <c r="D93" t="s">
        <v>19</v>
      </c>
      <c r="E93">
        <v>116.3</v>
      </c>
      <c r="F93">
        <v>77.599999999999994</v>
      </c>
      <c r="G93">
        <v>116.3</v>
      </c>
      <c r="H93">
        <v>77.599999999999994</v>
      </c>
      <c r="I93">
        <v>116.3</v>
      </c>
      <c r="J93">
        <v>77.599999999999994</v>
      </c>
    </row>
    <row r="94" spans="1:10">
      <c r="A94" t="s">
        <v>202</v>
      </c>
      <c r="B94" t="s">
        <v>203</v>
      </c>
      <c r="C94">
        <v>0</v>
      </c>
      <c r="D94" t="s">
        <v>19</v>
      </c>
      <c r="E94">
        <v>0</v>
      </c>
      <c r="F94">
        <v>0</v>
      </c>
      <c r="G94">
        <v>0</v>
      </c>
      <c r="H94" t="s">
        <v>19</v>
      </c>
      <c r="I94">
        <v>0</v>
      </c>
      <c r="J94">
        <v>0</v>
      </c>
    </row>
    <row r="95" spans="1:10">
      <c r="A95" t="s">
        <v>204</v>
      </c>
      <c r="B95" t="s">
        <v>205</v>
      </c>
      <c r="C95">
        <v>11</v>
      </c>
      <c r="D95" t="s">
        <v>19</v>
      </c>
      <c r="E95">
        <v>11</v>
      </c>
      <c r="F95">
        <v>11</v>
      </c>
      <c r="G95">
        <v>13</v>
      </c>
      <c r="H95">
        <v>5.2</v>
      </c>
      <c r="I95">
        <v>13</v>
      </c>
      <c r="J95">
        <v>5.2</v>
      </c>
    </row>
    <row r="96" spans="1:10">
      <c r="A96" t="s">
        <v>206</v>
      </c>
      <c r="B96" t="s">
        <v>207</v>
      </c>
      <c r="C96" t="s">
        <v>19</v>
      </c>
      <c r="D96" t="s">
        <v>19</v>
      </c>
      <c r="E96">
        <v>1.7</v>
      </c>
      <c r="F96">
        <v>-103.7</v>
      </c>
      <c r="G96" t="s">
        <v>19</v>
      </c>
      <c r="H96">
        <v>-103.7</v>
      </c>
      <c r="I96">
        <v>1.7</v>
      </c>
      <c r="J96">
        <v>-103.7</v>
      </c>
    </row>
    <row r="97" spans="1:10">
      <c r="A97" t="s">
        <v>208</v>
      </c>
      <c r="B97" t="s">
        <v>209</v>
      </c>
      <c r="C97" t="s">
        <v>19</v>
      </c>
      <c r="D97">
        <v>5.4</v>
      </c>
      <c r="E97">
        <v>7</v>
      </c>
      <c r="F97">
        <v>5.4</v>
      </c>
      <c r="G97" t="s">
        <v>19</v>
      </c>
      <c r="H97">
        <v>3.2</v>
      </c>
      <c r="I97">
        <v>4.0999999999999996</v>
      </c>
      <c r="J97">
        <v>3.2</v>
      </c>
    </row>
    <row r="98" spans="1:10">
      <c r="A98" t="s">
        <v>210</v>
      </c>
      <c r="B98" t="s">
        <v>211</v>
      </c>
      <c r="C98" t="s">
        <v>19</v>
      </c>
      <c r="D98" t="s">
        <v>19</v>
      </c>
      <c r="E98">
        <v>644.20000000000005</v>
      </c>
      <c r="F98">
        <v>594.6</v>
      </c>
      <c r="G98">
        <v>644.20000000000005</v>
      </c>
      <c r="H98">
        <v>594.6</v>
      </c>
      <c r="I98">
        <v>644.20000000000005</v>
      </c>
      <c r="J98">
        <v>594.6</v>
      </c>
    </row>
    <row r="99" spans="1:10">
      <c r="A99" t="s">
        <v>212</v>
      </c>
      <c r="B99" t="s">
        <v>213</v>
      </c>
      <c r="C99" t="s">
        <v>19</v>
      </c>
      <c r="D99">
        <v>0.1</v>
      </c>
      <c r="E99">
        <v>0.2</v>
      </c>
      <c r="F99">
        <v>0.1</v>
      </c>
      <c r="G99" t="s">
        <v>19</v>
      </c>
      <c r="H99">
        <v>0.1</v>
      </c>
      <c r="I99">
        <v>0.2</v>
      </c>
      <c r="J99">
        <v>0.1</v>
      </c>
    </row>
    <row r="100" spans="1:10">
      <c r="A100" t="s">
        <v>214</v>
      </c>
      <c r="B100" t="s">
        <v>215</v>
      </c>
      <c r="C100" t="s">
        <v>19</v>
      </c>
      <c r="D100" t="s">
        <v>19</v>
      </c>
      <c r="E100">
        <v>10.9</v>
      </c>
      <c r="F100">
        <v>6.1</v>
      </c>
      <c r="G100" t="s">
        <v>19</v>
      </c>
      <c r="H100">
        <v>6.1</v>
      </c>
      <c r="I100">
        <v>10.9</v>
      </c>
      <c r="J100">
        <v>6.1</v>
      </c>
    </row>
    <row r="101" spans="1:10">
      <c r="A101" t="s">
        <v>216</v>
      </c>
      <c r="B101" t="s">
        <v>217</v>
      </c>
      <c r="C101" t="s">
        <v>19</v>
      </c>
      <c r="D101" t="s">
        <v>19</v>
      </c>
      <c r="E101">
        <v>-206</v>
      </c>
      <c r="F101">
        <v>-369.4</v>
      </c>
      <c r="G101" t="s">
        <v>19</v>
      </c>
      <c r="H101">
        <v>-369.4</v>
      </c>
      <c r="I101">
        <v>-206</v>
      </c>
      <c r="J101">
        <v>-369.4</v>
      </c>
    </row>
    <row r="102" spans="1:10">
      <c r="A102" t="s">
        <v>218</v>
      </c>
      <c r="B102" t="s">
        <v>219</v>
      </c>
      <c r="C102" t="s">
        <v>19</v>
      </c>
      <c r="D102" t="s">
        <v>19</v>
      </c>
      <c r="E102">
        <v>122.3</v>
      </c>
      <c r="F102">
        <v>91.4</v>
      </c>
      <c r="G102">
        <v>122.3</v>
      </c>
      <c r="H102">
        <v>91.4</v>
      </c>
      <c r="I102">
        <v>122.3</v>
      </c>
      <c r="J102">
        <v>91.4</v>
      </c>
    </row>
    <row r="103" spans="1:10">
      <c r="A103" t="s">
        <v>220</v>
      </c>
      <c r="B103" t="s">
        <v>221</v>
      </c>
      <c r="C103">
        <v>1.5</v>
      </c>
      <c r="D103" t="s">
        <v>19</v>
      </c>
      <c r="E103">
        <v>1.5</v>
      </c>
      <c r="F103">
        <v>1.5</v>
      </c>
      <c r="G103">
        <v>3.5</v>
      </c>
      <c r="H103" t="s">
        <v>19</v>
      </c>
      <c r="I103">
        <v>3.5</v>
      </c>
      <c r="J103">
        <v>3.5</v>
      </c>
    </row>
    <row r="104" spans="1:10">
      <c r="A104" t="s">
        <v>222</v>
      </c>
      <c r="B104" t="s">
        <v>223</v>
      </c>
      <c r="C104" t="s">
        <v>19</v>
      </c>
      <c r="D104" t="s">
        <v>19</v>
      </c>
      <c r="E104">
        <v>80.400000000000006</v>
      </c>
      <c r="F104">
        <v>77.099999999999994</v>
      </c>
      <c r="G104">
        <v>80.400000000000006</v>
      </c>
      <c r="H104">
        <v>77.099999999999994</v>
      </c>
      <c r="I104">
        <v>80.400000000000006</v>
      </c>
      <c r="J104">
        <v>77.099999999999994</v>
      </c>
    </row>
    <row r="105" spans="1:10">
      <c r="A105" t="s">
        <v>224</v>
      </c>
      <c r="B105" t="s">
        <v>225</v>
      </c>
      <c r="C105" t="s">
        <v>19</v>
      </c>
      <c r="D105" t="s">
        <v>19</v>
      </c>
      <c r="E105">
        <v>95.5</v>
      </c>
      <c r="F105">
        <v>120.8</v>
      </c>
      <c r="G105" t="s">
        <v>19</v>
      </c>
      <c r="H105">
        <v>120.8</v>
      </c>
      <c r="I105">
        <v>95.5</v>
      </c>
      <c r="J105">
        <v>120.8</v>
      </c>
    </row>
    <row r="106" spans="1:10">
      <c r="A106" t="s">
        <v>226</v>
      </c>
      <c r="B106" t="s">
        <v>227</v>
      </c>
      <c r="C106" t="s">
        <v>19</v>
      </c>
      <c r="D106" t="s">
        <v>19</v>
      </c>
      <c r="E106">
        <v>15.4</v>
      </c>
      <c r="F106">
        <v>1.3</v>
      </c>
      <c r="G106">
        <v>15.4</v>
      </c>
      <c r="H106">
        <v>1.3</v>
      </c>
      <c r="I106">
        <v>15.4</v>
      </c>
      <c r="J106">
        <v>1.3</v>
      </c>
    </row>
    <row r="107" spans="1:10">
      <c r="A107" t="s">
        <v>228</v>
      </c>
      <c r="B107" t="s">
        <v>229</v>
      </c>
      <c r="C107" t="s">
        <v>19</v>
      </c>
      <c r="D107" t="s">
        <v>19</v>
      </c>
      <c r="E107">
        <v>6.9</v>
      </c>
      <c r="F107">
        <v>4.0999999999999996</v>
      </c>
      <c r="G107" t="s">
        <v>19</v>
      </c>
      <c r="H107">
        <v>4.0999999999999996</v>
      </c>
      <c r="I107">
        <v>6.9</v>
      </c>
      <c r="J107">
        <v>4.0999999999999996</v>
      </c>
    </row>
    <row r="108" spans="1:10">
      <c r="A108" t="s">
        <v>230</v>
      </c>
      <c r="B108" t="s">
        <v>231</v>
      </c>
      <c r="C108" t="s">
        <v>19</v>
      </c>
      <c r="D108" t="s">
        <v>19</v>
      </c>
      <c r="E108">
        <v>26.5</v>
      </c>
      <c r="F108">
        <v>21.2</v>
      </c>
      <c r="G108">
        <v>26.5</v>
      </c>
      <c r="H108">
        <v>21.2</v>
      </c>
      <c r="I108">
        <v>26.5</v>
      </c>
      <c r="J108">
        <v>21.2</v>
      </c>
    </row>
    <row r="109" spans="1:10">
      <c r="A109" t="s">
        <v>232</v>
      </c>
      <c r="B109" t="s">
        <v>233</v>
      </c>
      <c r="C109" t="s">
        <v>19</v>
      </c>
      <c r="D109" t="s">
        <v>19</v>
      </c>
      <c r="E109">
        <v>410.4</v>
      </c>
      <c r="F109">
        <v>410.4</v>
      </c>
      <c r="G109">
        <v>410.4</v>
      </c>
      <c r="H109" t="s">
        <v>19</v>
      </c>
      <c r="I109">
        <v>410.4</v>
      </c>
      <c r="J109">
        <v>410.4</v>
      </c>
    </row>
    <row r="110" spans="1:10">
      <c r="A110" t="s">
        <v>234</v>
      </c>
      <c r="B110" t="s">
        <v>235</v>
      </c>
      <c r="C110" t="s">
        <v>19</v>
      </c>
      <c r="D110" t="s">
        <v>19</v>
      </c>
      <c r="E110">
        <v>-90.7</v>
      </c>
      <c r="F110">
        <v>-54.8</v>
      </c>
      <c r="G110" t="s">
        <v>19</v>
      </c>
      <c r="H110">
        <v>-54.8</v>
      </c>
      <c r="I110">
        <v>-90.7</v>
      </c>
      <c r="J110">
        <v>-54.8</v>
      </c>
    </row>
    <row r="111" spans="1:10">
      <c r="A111" t="s">
        <v>236</v>
      </c>
      <c r="B111" t="s">
        <v>237</v>
      </c>
      <c r="C111" t="s">
        <v>19</v>
      </c>
      <c r="D111" t="s">
        <v>19</v>
      </c>
      <c r="E111">
        <v>112.5</v>
      </c>
      <c r="F111">
        <v>97.5</v>
      </c>
      <c r="G111">
        <v>112.5</v>
      </c>
      <c r="H111">
        <v>97.5</v>
      </c>
      <c r="I111">
        <v>112.5</v>
      </c>
      <c r="J111">
        <v>97.5</v>
      </c>
    </row>
    <row r="112" spans="1:10">
      <c r="A112" t="s">
        <v>238</v>
      </c>
      <c r="B112" t="s">
        <v>239</v>
      </c>
      <c r="C112" t="s">
        <v>19</v>
      </c>
      <c r="D112" t="s">
        <v>19</v>
      </c>
      <c r="E112">
        <v>398.7</v>
      </c>
      <c r="F112">
        <v>276.39999999999998</v>
      </c>
      <c r="G112">
        <v>398.7</v>
      </c>
      <c r="H112">
        <v>276.39999999999998</v>
      </c>
      <c r="I112">
        <v>398.7</v>
      </c>
      <c r="J112">
        <v>276.39999999999998</v>
      </c>
    </row>
    <row r="113" spans="1:10">
      <c r="A113" t="s">
        <v>240</v>
      </c>
      <c r="B113" t="s">
        <v>241</v>
      </c>
      <c r="C113" t="s">
        <v>19</v>
      </c>
      <c r="D113" t="s">
        <v>19</v>
      </c>
      <c r="E113">
        <v>84.8</v>
      </c>
      <c r="F113">
        <v>83.2</v>
      </c>
      <c r="G113">
        <v>84.8</v>
      </c>
      <c r="H113">
        <v>83.2</v>
      </c>
      <c r="I113">
        <v>84.8</v>
      </c>
      <c r="J113">
        <v>83.2</v>
      </c>
    </row>
    <row r="114" spans="1:10">
      <c r="A114" t="s">
        <v>242</v>
      </c>
      <c r="B114" t="s">
        <v>243</v>
      </c>
      <c r="C114" t="s">
        <v>19</v>
      </c>
      <c r="D114" t="s">
        <v>19</v>
      </c>
      <c r="E114">
        <v>0</v>
      </c>
      <c r="F114">
        <v>0</v>
      </c>
      <c r="G114" t="s">
        <v>19</v>
      </c>
      <c r="H114" t="s">
        <v>19</v>
      </c>
      <c r="I114">
        <v>0</v>
      </c>
      <c r="J114">
        <v>0</v>
      </c>
    </row>
    <row r="115" spans="1:10">
      <c r="A115" t="s">
        <v>244</v>
      </c>
      <c r="B115" t="s">
        <v>245</v>
      </c>
      <c r="C115">
        <v>11.3</v>
      </c>
      <c r="D115" t="s">
        <v>19</v>
      </c>
      <c r="E115">
        <v>11.3</v>
      </c>
      <c r="F115">
        <v>11.3</v>
      </c>
      <c r="G115">
        <v>13.1</v>
      </c>
      <c r="H115" t="s">
        <v>19</v>
      </c>
      <c r="I115">
        <v>13.1</v>
      </c>
      <c r="J115">
        <v>13.1</v>
      </c>
    </row>
    <row r="116" spans="1:10">
      <c r="A116" t="s">
        <v>246</v>
      </c>
      <c r="B116" t="s">
        <v>247</v>
      </c>
      <c r="C116">
        <v>61.8</v>
      </c>
      <c r="D116">
        <v>45.7</v>
      </c>
      <c r="E116">
        <v>61.8</v>
      </c>
      <c r="F116">
        <v>45.7</v>
      </c>
      <c r="G116" t="s">
        <v>19</v>
      </c>
      <c r="H116" t="s">
        <v>19</v>
      </c>
      <c r="I116">
        <v>54.7</v>
      </c>
      <c r="J116">
        <v>54.7</v>
      </c>
    </row>
    <row r="117" spans="1:10">
      <c r="A117" t="s">
        <v>248</v>
      </c>
      <c r="B117" t="s">
        <v>249</v>
      </c>
      <c r="C117" t="s">
        <v>19</v>
      </c>
      <c r="D117" t="s">
        <v>19</v>
      </c>
      <c r="E117">
        <v>0.1</v>
      </c>
      <c r="F117">
        <v>0.1</v>
      </c>
      <c r="G117" t="s">
        <v>19</v>
      </c>
      <c r="H117" t="s">
        <v>19</v>
      </c>
      <c r="I117">
        <v>0.1</v>
      </c>
      <c r="J117">
        <v>0.1</v>
      </c>
    </row>
    <row r="118" spans="1:10">
      <c r="A118" t="s">
        <v>250</v>
      </c>
      <c r="B118" t="s">
        <v>251</v>
      </c>
      <c r="C118">
        <v>42.4</v>
      </c>
      <c r="D118" t="s">
        <v>19</v>
      </c>
      <c r="E118">
        <v>42.4</v>
      </c>
      <c r="F118">
        <v>42.4</v>
      </c>
      <c r="G118">
        <v>43</v>
      </c>
      <c r="H118" t="s">
        <v>19</v>
      </c>
      <c r="I118">
        <v>43</v>
      </c>
      <c r="J118">
        <v>43</v>
      </c>
    </row>
    <row r="119" spans="1:10">
      <c r="A119" t="s">
        <v>252</v>
      </c>
      <c r="B119" t="s">
        <v>253</v>
      </c>
      <c r="C119" t="s">
        <v>19</v>
      </c>
      <c r="D119" t="s">
        <v>19</v>
      </c>
      <c r="E119">
        <v>102.7</v>
      </c>
      <c r="F119">
        <v>87.8</v>
      </c>
      <c r="G119">
        <v>102.7</v>
      </c>
      <c r="H119">
        <v>87.8</v>
      </c>
      <c r="I119">
        <v>102.7</v>
      </c>
      <c r="J119">
        <v>87.8</v>
      </c>
    </row>
    <row r="120" spans="1:10">
      <c r="A120" t="s">
        <v>254</v>
      </c>
      <c r="B120" t="s">
        <v>255</v>
      </c>
      <c r="C120" t="s">
        <v>19</v>
      </c>
      <c r="D120" t="s">
        <v>19</v>
      </c>
      <c r="E120">
        <v>1384.8</v>
      </c>
      <c r="F120">
        <v>823.7</v>
      </c>
      <c r="G120">
        <v>1384.8</v>
      </c>
      <c r="H120">
        <v>823.7</v>
      </c>
      <c r="I120">
        <v>1384.8</v>
      </c>
      <c r="J120">
        <v>823.7</v>
      </c>
    </row>
    <row r="121" spans="1:10">
      <c r="A121" t="s">
        <v>256</v>
      </c>
      <c r="B121" t="s">
        <v>257</v>
      </c>
      <c r="C121" t="s">
        <v>19</v>
      </c>
      <c r="D121" t="s">
        <v>19</v>
      </c>
      <c r="E121">
        <v>22</v>
      </c>
      <c r="F121">
        <v>20.8</v>
      </c>
      <c r="G121" t="s">
        <v>19</v>
      </c>
      <c r="H121">
        <v>20.8</v>
      </c>
      <c r="I121">
        <v>22</v>
      </c>
      <c r="J121">
        <v>20.8</v>
      </c>
    </row>
    <row r="122" spans="1:10">
      <c r="A122" t="s">
        <v>258</v>
      </c>
      <c r="B122" t="s">
        <v>259</v>
      </c>
      <c r="C122" t="s">
        <v>19</v>
      </c>
      <c r="D122" t="s">
        <v>19</v>
      </c>
      <c r="E122">
        <v>208.8</v>
      </c>
      <c r="F122">
        <v>179</v>
      </c>
      <c r="G122">
        <v>208.8</v>
      </c>
      <c r="H122">
        <v>179</v>
      </c>
      <c r="I122">
        <v>208.8</v>
      </c>
      <c r="J122">
        <v>179</v>
      </c>
    </row>
    <row r="123" spans="1:10">
      <c r="A123" t="s">
        <v>260</v>
      </c>
      <c r="B123" t="s">
        <v>261</v>
      </c>
      <c r="C123" t="s">
        <v>19</v>
      </c>
      <c r="D123" t="s">
        <v>19</v>
      </c>
      <c r="E123">
        <v>327.2</v>
      </c>
      <c r="F123">
        <v>85.7</v>
      </c>
      <c r="G123">
        <v>327.2</v>
      </c>
      <c r="H123">
        <v>85.7</v>
      </c>
      <c r="I123">
        <v>327.2</v>
      </c>
      <c r="J123">
        <v>85.7</v>
      </c>
    </row>
    <row r="124" spans="1:10">
      <c r="A124" t="s">
        <v>262</v>
      </c>
      <c r="B124" t="s">
        <v>263</v>
      </c>
      <c r="C124" t="s">
        <v>19</v>
      </c>
      <c r="D124" t="s">
        <v>19</v>
      </c>
      <c r="E124">
        <v>0.3</v>
      </c>
      <c r="F124">
        <v>0.1</v>
      </c>
      <c r="G124" t="s">
        <v>19</v>
      </c>
      <c r="H124">
        <v>0.1</v>
      </c>
      <c r="I124">
        <v>0.3</v>
      </c>
      <c r="J124">
        <v>0.1</v>
      </c>
    </row>
    <row r="125" spans="1:10">
      <c r="A125" t="s">
        <v>264</v>
      </c>
      <c r="B125" t="s">
        <v>265</v>
      </c>
      <c r="C125" t="s">
        <v>19</v>
      </c>
      <c r="D125" t="s">
        <v>19</v>
      </c>
      <c r="E125">
        <v>55.2</v>
      </c>
      <c r="F125">
        <v>3.8</v>
      </c>
      <c r="G125" t="s">
        <v>19</v>
      </c>
      <c r="H125">
        <v>3.8</v>
      </c>
      <c r="I125">
        <v>55.2</v>
      </c>
      <c r="J125">
        <v>3.8</v>
      </c>
    </row>
    <row r="126" spans="1:10">
      <c r="A126" t="s">
        <v>266</v>
      </c>
      <c r="B126" t="s">
        <v>267</v>
      </c>
      <c r="C126" t="s">
        <v>19</v>
      </c>
      <c r="D126" t="s">
        <v>19</v>
      </c>
      <c r="E126">
        <v>182.2</v>
      </c>
      <c r="F126">
        <v>103.4</v>
      </c>
      <c r="G126">
        <v>182.2</v>
      </c>
      <c r="H126">
        <v>103.4</v>
      </c>
      <c r="I126">
        <v>182.2</v>
      </c>
      <c r="J126">
        <v>103.4</v>
      </c>
    </row>
    <row r="127" spans="1:10">
      <c r="A127" t="s">
        <v>268</v>
      </c>
      <c r="B127" t="s">
        <v>269</v>
      </c>
      <c r="C127" t="s">
        <v>19</v>
      </c>
      <c r="D127" t="s">
        <v>19</v>
      </c>
      <c r="E127">
        <v>92.3</v>
      </c>
      <c r="F127">
        <v>82</v>
      </c>
      <c r="G127">
        <v>92.3</v>
      </c>
      <c r="H127">
        <v>82</v>
      </c>
      <c r="I127">
        <v>92.3</v>
      </c>
      <c r="J127">
        <v>82</v>
      </c>
    </row>
    <row r="128" spans="1:10">
      <c r="A128" t="s">
        <v>270</v>
      </c>
      <c r="B128" t="s">
        <v>271</v>
      </c>
      <c r="C128" t="s">
        <v>19</v>
      </c>
      <c r="D128" t="s">
        <v>19</v>
      </c>
      <c r="E128">
        <v>22.5</v>
      </c>
      <c r="F128">
        <v>11.5</v>
      </c>
      <c r="G128" t="s">
        <v>19</v>
      </c>
      <c r="H128">
        <v>11.5</v>
      </c>
      <c r="I128">
        <v>22.5</v>
      </c>
      <c r="J128">
        <v>11.5</v>
      </c>
    </row>
    <row r="129" spans="1:10">
      <c r="A129" t="s">
        <v>272</v>
      </c>
      <c r="B129" t="s">
        <v>273</v>
      </c>
      <c r="C129" t="s">
        <v>19</v>
      </c>
      <c r="D129" t="s">
        <v>19</v>
      </c>
      <c r="E129">
        <v>98.6</v>
      </c>
      <c r="F129">
        <v>74.400000000000006</v>
      </c>
      <c r="G129" t="s">
        <v>19</v>
      </c>
      <c r="H129">
        <v>74.400000000000006</v>
      </c>
      <c r="I129">
        <v>98.6</v>
      </c>
      <c r="J129">
        <v>74.400000000000006</v>
      </c>
    </row>
    <row r="130" spans="1:10">
      <c r="A130" t="s">
        <v>274</v>
      </c>
      <c r="B130" t="s">
        <v>275</v>
      </c>
      <c r="C130" t="s">
        <v>19</v>
      </c>
      <c r="D130" t="s">
        <v>19</v>
      </c>
      <c r="E130">
        <v>2170</v>
      </c>
      <c r="F130">
        <v>2170</v>
      </c>
      <c r="G130">
        <v>2170</v>
      </c>
      <c r="H130" t="s">
        <v>19</v>
      </c>
      <c r="I130">
        <v>2170</v>
      </c>
      <c r="J130">
        <v>2170</v>
      </c>
    </row>
    <row r="131" spans="1:10">
      <c r="A131" t="s">
        <v>276</v>
      </c>
      <c r="B131" t="s">
        <v>277</v>
      </c>
      <c r="C131" t="s">
        <v>19</v>
      </c>
      <c r="D131" t="s">
        <v>19</v>
      </c>
      <c r="E131">
        <v>11.5</v>
      </c>
      <c r="F131">
        <v>8.8000000000000007</v>
      </c>
      <c r="G131">
        <v>11.5</v>
      </c>
      <c r="H131">
        <v>8.8000000000000007</v>
      </c>
      <c r="I131">
        <v>11.5</v>
      </c>
      <c r="J131">
        <v>8.8000000000000007</v>
      </c>
    </row>
    <row r="132" spans="1:10">
      <c r="A132" t="s">
        <v>278</v>
      </c>
      <c r="B132" t="s">
        <v>279</v>
      </c>
      <c r="C132" t="s">
        <v>19</v>
      </c>
      <c r="D132" t="s">
        <v>19</v>
      </c>
      <c r="E132">
        <v>674.9</v>
      </c>
      <c r="F132">
        <v>674.9</v>
      </c>
      <c r="G132" t="s">
        <v>19</v>
      </c>
      <c r="H132" t="s">
        <v>19</v>
      </c>
      <c r="I132">
        <v>674.9</v>
      </c>
      <c r="J132">
        <v>674.9</v>
      </c>
    </row>
    <row r="133" spans="1:10">
      <c r="A133" t="s">
        <v>280</v>
      </c>
      <c r="B133" t="s">
        <v>281</v>
      </c>
      <c r="C133" t="s">
        <v>19</v>
      </c>
      <c r="D133" t="s">
        <v>19</v>
      </c>
      <c r="E133">
        <v>159.6</v>
      </c>
      <c r="F133">
        <v>132.5</v>
      </c>
      <c r="G133" t="s">
        <v>19</v>
      </c>
      <c r="H133">
        <v>132.5</v>
      </c>
      <c r="I133">
        <v>159.6</v>
      </c>
      <c r="J133">
        <v>132.5</v>
      </c>
    </row>
    <row r="134" spans="1:10">
      <c r="A134" t="s">
        <v>282</v>
      </c>
      <c r="B134" t="s">
        <v>283</v>
      </c>
      <c r="C134" t="s">
        <v>19</v>
      </c>
      <c r="D134" t="s">
        <v>19</v>
      </c>
      <c r="E134">
        <v>37.299999999999997</v>
      </c>
      <c r="F134">
        <v>28.8</v>
      </c>
      <c r="G134">
        <v>37.299999999999997</v>
      </c>
      <c r="H134">
        <v>28.8</v>
      </c>
      <c r="I134">
        <v>37.299999999999997</v>
      </c>
      <c r="J134">
        <v>28.8</v>
      </c>
    </row>
    <row r="135" spans="1:10">
      <c r="A135" t="s">
        <v>284</v>
      </c>
      <c r="B135" t="s">
        <v>285</v>
      </c>
      <c r="C135">
        <v>50</v>
      </c>
      <c r="D135" t="s">
        <v>19</v>
      </c>
      <c r="E135">
        <v>50</v>
      </c>
      <c r="F135">
        <v>50</v>
      </c>
      <c r="G135">
        <v>60</v>
      </c>
      <c r="H135" t="s">
        <v>19</v>
      </c>
      <c r="I135">
        <v>60</v>
      </c>
      <c r="J135">
        <v>60</v>
      </c>
    </row>
    <row r="136" spans="1:10">
      <c r="A136" t="s">
        <v>286</v>
      </c>
      <c r="B136" t="s">
        <v>287</v>
      </c>
      <c r="C136" t="s">
        <v>19</v>
      </c>
      <c r="D136" t="s">
        <v>19</v>
      </c>
      <c r="E136">
        <v>1.1000000000000001</v>
      </c>
      <c r="F136">
        <v>0.7</v>
      </c>
      <c r="G136">
        <v>1.1000000000000001</v>
      </c>
      <c r="H136">
        <v>0.7</v>
      </c>
      <c r="I136">
        <v>1.1000000000000001</v>
      </c>
      <c r="J136">
        <v>0.7</v>
      </c>
    </row>
    <row r="137" spans="1:10">
      <c r="A137" t="s">
        <v>288</v>
      </c>
      <c r="B137" t="s">
        <v>289</v>
      </c>
      <c r="C137" t="s">
        <v>19</v>
      </c>
      <c r="D137" t="s">
        <v>19</v>
      </c>
      <c r="E137">
        <v>9.6</v>
      </c>
      <c r="F137">
        <v>8.6</v>
      </c>
      <c r="G137" t="s">
        <v>19</v>
      </c>
      <c r="H137">
        <v>8.6</v>
      </c>
      <c r="I137">
        <v>9.6</v>
      </c>
      <c r="J137">
        <v>8.6</v>
      </c>
    </row>
    <row r="138" spans="1:10">
      <c r="A138" t="s">
        <v>290</v>
      </c>
      <c r="B138" t="s">
        <v>291</v>
      </c>
      <c r="C138" t="s">
        <v>19</v>
      </c>
      <c r="D138" t="s">
        <v>19</v>
      </c>
      <c r="E138">
        <v>12</v>
      </c>
      <c r="F138">
        <v>11.8</v>
      </c>
      <c r="G138">
        <v>12</v>
      </c>
      <c r="H138">
        <v>11.8</v>
      </c>
      <c r="I138">
        <v>12</v>
      </c>
      <c r="J138">
        <v>11.8</v>
      </c>
    </row>
    <row r="139" spans="1:10">
      <c r="A139" t="s">
        <v>292</v>
      </c>
      <c r="B139" t="s">
        <v>293</v>
      </c>
      <c r="C139" t="s">
        <v>19</v>
      </c>
      <c r="D139" t="s">
        <v>19</v>
      </c>
      <c r="E139">
        <v>0.2</v>
      </c>
      <c r="F139">
        <v>0.2</v>
      </c>
      <c r="G139">
        <v>0.2</v>
      </c>
      <c r="H139" t="s">
        <v>19</v>
      </c>
      <c r="I139">
        <v>0.2</v>
      </c>
      <c r="J139">
        <v>0.2</v>
      </c>
    </row>
    <row r="140" spans="1:10">
      <c r="A140" t="s">
        <v>294</v>
      </c>
      <c r="B140" t="s">
        <v>295</v>
      </c>
      <c r="C140">
        <v>80.7</v>
      </c>
      <c r="D140">
        <v>55.4</v>
      </c>
      <c r="E140">
        <v>80.7</v>
      </c>
      <c r="F140">
        <v>55.4</v>
      </c>
      <c r="G140" t="s">
        <v>19</v>
      </c>
      <c r="H140">
        <v>75.599999999999994</v>
      </c>
      <c r="I140">
        <v>107.9</v>
      </c>
      <c r="J140">
        <v>75.599999999999994</v>
      </c>
    </row>
    <row r="141" spans="1:10">
      <c r="A141" t="s">
        <v>296</v>
      </c>
      <c r="B141" t="s">
        <v>297</v>
      </c>
      <c r="C141" t="s">
        <v>19</v>
      </c>
      <c r="D141" t="s">
        <v>19</v>
      </c>
      <c r="E141">
        <v>55.3</v>
      </c>
      <c r="F141">
        <v>55.3</v>
      </c>
      <c r="G141">
        <v>55.3</v>
      </c>
      <c r="H141" t="s">
        <v>19</v>
      </c>
      <c r="I141">
        <v>55.3</v>
      </c>
      <c r="J141">
        <v>55.3</v>
      </c>
    </row>
    <row r="142" spans="1:10">
      <c r="A142" t="s">
        <v>298</v>
      </c>
      <c r="B142" t="s">
        <v>299</v>
      </c>
      <c r="C142" t="s">
        <v>19</v>
      </c>
      <c r="D142" t="s">
        <v>19</v>
      </c>
      <c r="E142">
        <v>60</v>
      </c>
      <c r="F142">
        <v>60</v>
      </c>
      <c r="G142" t="s">
        <v>19</v>
      </c>
      <c r="H142" t="s">
        <v>19</v>
      </c>
      <c r="I142">
        <v>60</v>
      </c>
      <c r="J142">
        <v>60</v>
      </c>
    </row>
    <row r="143" spans="1:10">
      <c r="A143" t="s">
        <v>300</v>
      </c>
      <c r="B143" t="s">
        <v>301</v>
      </c>
      <c r="C143" t="s">
        <v>19</v>
      </c>
      <c r="D143" t="s">
        <v>19</v>
      </c>
      <c r="E143">
        <v>0.4</v>
      </c>
      <c r="F143">
        <v>0.3</v>
      </c>
      <c r="G143" t="s">
        <v>19</v>
      </c>
      <c r="H143">
        <v>0.3</v>
      </c>
      <c r="I143">
        <v>0.4</v>
      </c>
      <c r="J143">
        <v>0.3</v>
      </c>
    </row>
    <row r="144" spans="1:10">
      <c r="A144" t="s">
        <v>302</v>
      </c>
      <c r="B144" t="s">
        <v>303</v>
      </c>
      <c r="C144" t="s">
        <v>19</v>
      </c>
      <c r="D144" t="s">
        <v>19</v>
      </c>
      <c r="E144">
        <v>9.4</v>
      </c>
      <c r="F144">
        <v>9.4</v>
      </c>
      <c r="G144" t="s">
        <v>19</v>
      </c>
      <c r="H144" t="s">
        <v>19</v>
      </c>
      <c r="I144">
        <v>9.4</v>
      </c>
      <c r="J144">
        <v>9.4</v>
      </c>
    </row>
    <row r="145" spans="1:10">
      <c r="A145" t="s">
        <v>304</v>
      </c>
      <c r="B145" t="s">
        <v>305</v>
      </c>
      <c r="C145" t="s">
        <v>19</v>
      </c>
      <c r="D145" t="s">
        <v>19</v>
      </c>
      <c r="E145">
        <v>7.5</v>
      </c>
      <c r="F145">
        <v>6.8</v>
      </c>
      <c r="G145">
        <v>7.5</v>
      </c>
      <c r="H145">
        <v>6.8</v>
      </c>
      <c r="I145">
        <v>7.5</v>
      </c>
      <c r="J145">
        <v>6.8</v>
      </c>
    </row>
    <row r="146" spans="1:10">
      <c r="A146" t="s">
        <v>306</v>
      </c>
      <c r="B146" t="s">
        <v>307</v>
      </c>
      <c r="C146" t="s">
        <v>19</v>
      </c>
      <c r="D146" t="s">
        <v>19</v>
      </c>
      <c r="E146">
        <v>1.1000000000000001</v>
      </c>
      <c r="F146">
        <v>0.8</v>
      </c>
      <c r="G146" t="s">
        <v>19</v>
      </c>
      <c r="H146">
        <v>0.8</v>
      </c>
      <c r="I146">
        <v>1.1000000000000001</v>
      </c>
      <c r="J146">
        <v>0.8</v>
      </c>
    </row>
    <row r="147" spans="1:10">
      <c r="A147" t="s">
        <v>308</v>
      </c>
      <c r="B147" t="s">
        <v>309</v>
      </c>
      <c r="C147" t="s">
        <v>19</v>
      </c>
      <c r="D147" t="s">
        <v>19</v>
      </c>
      <c r="E147">
        <v>86.2</v>
      </c>
      <c r="F147">
        <v>86.2</v>
      </c>
      <c r="G147" t="s">
        <v>19</v>
      </c>
      <c r="H147" t="s">
        <v>19</v>
      </c>
      <c r="I147">
        <v>86.2</v>
      </c>
      <c r="J147">
        <v>86.2</v>
      </c>
    </row>
    <row r="148" spans="1:10">
      <c r="A148" t="s">
        <v>310</v>
      </c>
      <c r="B148" t="s">
        <v>311</v>
      </c>
      <c r="C148" t="s">
        <v>19</v>
      </c>
      <c r="D148" t="s">
        <v>19</v>
      </c>
      <c r="E148">
        <v>85.7</v>
      </c>
      <c r="F148">
        <v>69.8</v>
      </c>
      <c r="G148">
        <v>85.7</v>
      </c>
      <c r="H148">
        <v>69.8</v>
      </c>
      <c r="I148">
        <v>85.7</v>
      </c>
      <c r="J148">
        <v>69.8</v>
      </c>
    </row>
    <row r="149" spans="1:10">
      <c r="A149" t="s">
        <v>312</v>
      </c>
      <c r="B149" t="s">
        <v>313</v>
      </c>
      <c r="C149" t="s">
        <v>19</v>
      </c>
      <c r="D149" t="s">
        <v>19</v>
      </c>
      <c r="E149">
        <v>24.2</v>
      </c>
      <c r="F149">
        <v>15</v>
      </c>
      <c r="G149">
        <v>24.2</v>
      </c>
      <c r="H149">
        <v>15</v>
      </c>
      <c r="I149">
        <v>24.2</v>
      </c>
      <c r="J149">
        <v>15</v>
      </c>
    </row>
    <row r="150" spans="1:10">
      <c r="A150" t="s">
        <v>314</v>
      </c>
      <c r="B150" t="s">
        <v>315</v>
      </c>
      <c r="C150" t="s">
        <v>19</v>
      </c>
      <c r="D150" t="s">
        <v>19</v>
      </c>
      <c r="E150">
        <v>404.4</v>
      </c>
      <c r="F150">
        <v>348.9</v>
      </c>
      <c r="G150">
        <v>404.4</v>
      </c>
      <c r="H150">
        <v>348.9</v>
      </c>
      <c r="I150">
        <v>404.4</v>
      </c>
      <c r="J150">
        <v>348.9</v>
      </c>
    </row>
    <row r="151" spans="1:10">
      <c r="A151" t="s">
        <v>316</v>
      </c>
      <c r="B151" t="s">
        <v>317</v>
      </c>
      <c r="C151" t="s">
        <v>19</v>
      </c>
      <c r="D151" t="s">
        <v>19</v>
      </c>
      <c r="E151">
        <v>23.6</v>
      </c>
      <c r="F151">
        <v>20</v>
      </c>
      <c r="G151">
        <v>23.6</v>
      </c>
      <c r="H151">
        <v>20</v>
      </c>
      <c r="I151">
        <v>23.6</v>
      </c>
      <c r="J151">
        <v>20</v>
      </c>
    </row>
    <row r="152" spans="1:10">
      <c r="A152" t="s">
        <v>318</v>
      </c>
      <c r="B152" t="s">
        <v>319</v>
      </c>
      <c r="C152" t="s">
        <v>19</v>
      </c>
      <c r="D152" t="s">
        <v>19</v>
      </c>
      <c r="E152">
        <v>154.4</v>
      </c>
      <c r="F152">
        <v>154.4</v>
      </c>
      <c r="G152">
        <v>154.4</v>
      </c>
      <c r="H152" t="s">
        <v>19</v>
      </c>
      <c r="I152">
        <v>154.4</v>
      </c>
      <c r="J152">
        <v>154.4</v>
      </c>
    </row>
    <row r="153" spans="1:10">
      <c r="A153" t="s">
        <v>320</v>
      </c>
      <c r="B153" t="s">
        <v>321</v>
      </c>
      <c r="C153" t="s">
        <v>19</v>
      </c>
      <c r="D153" t="s">
        <v>19</v>
      </c>
      <c r="E153">
        <v>6.3</v>
      </c>
      <c r="F153">
        <v>6.3</v>
      </c>
      <c r="G153" t="s">
        <v>19</v>
      </c>
      <c r="H153" t="s">
        <v>19</v>
      </c>
      <c r="I153">
        <v>6.3</v>
      </c>
      <c r="J153">
        <v>6.3</v>
      </c>
    </row>
    <row r="154" spans="1:10">
      <c r="A154" t="s">
        <v>322</v>
      </c>
      <c r="B154" t="s">
        <v>323</v>
      </c>
      <c r="C154" t="s">
        <v>19</v>
      </c>
      <c r="D154" t="s">
        <v>19</v>
      </c>
      <c r="E154">
        <v>0.3</v>
      </c>
      <c r="F154">
        <v>0.3</v>
      </c>
      <c r="G154" t="s">
        <v>19</v>
      </c>
      <c r="H154">
        <v>0.3</v>
      </c>
      <c r="I154">
        <v>0.3</v>
      </c>
      <c r="J154">
        <v>0.3</v>
      </c>
    </row>
    <row r="155" spans="1:10">
      <c r="A155" t="s">
        <v>324</v>
      </c>
      <c r="B155" t="s">
        <v>325</v>
      </c>
      <c r="C155" t="s">
        <v>19</v>
      </c>
      <c r="D155" t="s">
        <v>19</v>
      </c>
      <c r="E155">
        <v>23.6</v>
      </c>
      <c r="F155">
        <v>21.9</v>
      </c>
      <c r="G155">
        <v>23.6</v>
      </c>
      <c r="H155">
        <v>21.9</v>
      </c>
      <c r="I155">
        <v>23.6</v>
      </c>
      <c r="J155">
        <v>21.9</v>
      </c>
    </row>
    <row r="156" spans="1:10">
      <c r="A156" t="s">
        <v>326</v>
      </c>
      <c r="B156" t="s">
        <v>327</v>
      </c>
      <c r="C156" t="s">
        <v>19</v>
      </c>
      <c r="D156" t="s">
        <v>19</v>
      </c>
      <c r="E156">
        <v>41.1</v>
      </c>
      <c r="F156">
        <v>31</v>
      </c>
      <c r="G156">
        <v>41.1</v>
      </c>
      <c r="H156">
        <v>31</v>
      </c>
      <c r="I156">
        <v>41.1</v>
      </c>
      <c r="J156">
        <v>31</v>
      </c>
    </row>
    <row r="157" spans="1:10">
      <c r="A157" t="s">
        <v>328</v>
      </c>
      <c r="B157" t="s">
        <v>329</v>
      </c>
      <c r="C157" t="s">
        <v>19</v>
      </c>
      <c r="D157" t="s">
        <v>19</v>
      </c>
      <c r="E157">
        <v>1175</v>
      </c>
      <c r="F157">
        <v>695</v>
      </c>
      <c r="G157" t="s">
        <v>19</v>
      </c>
      <c r="H157">
        <v>695</v>
      </c>
      <c r="I157">
        <v>1175</v>
      </c>
      <c r="J157">
        <v>695</v>
      </c>
    </row>
    <row r="158" spans="1:10">
      <c r="A158" t="s">
        <v>330</v>
      </c>
      <c r="B158" t="s">
        <v>331</v>
      </c>
      <c r="C158" t="s">
        <v>19</v>
      </c>
      <c r="D158" t="s">
        <v>19</v>
      </c>
      <c r="E158">
        <v>0</v>
      </c>
      <c r="F158">
        <v>0</v>
      </c>
      <c r="G158">
        <v>0</v>
      </c>
      <c r="H158" t="s">
        <v>19</v>
      </c>
      <c r="I158">
        <v>0</v>
      </c>
      <c r="J158">
        <v>0</v>
      </c>
    </row>
    <row r="159" spans="1:10">
      <c r="A159" t="s">
        <v>332</v>
      </c>
      <c r="B159" t="s">
        <v>333</v>
      </c>
      <c r="C159" t="s">
        <v>19</v>
      </c>
      <c r="D159" t="s">
        <v>19</v>
      </c>
      <c r="E159">
        <v>220.8</v>
      </c>
      <c r="F159">
        <v>146.9</v>
      </c>
      <c r="G159" t="s">
        <v>19</v>
      </c>
      <c r="H159">
        <v>146.9</v>
      </c>
      <c r="I159">
        <v>220.8</v>
      </c>
      <c r="J159">
        <v>146.9</v>
      </c>
    </row>
    <row r="160" spans="1:10">
      <c r="A160" t="s">
        <v>334</v>
      </c>
      <c r="B160" t="s">
        <v>335</v>
      </c>
      <c r="C160" t="s">
        <v>19</v>
      </c>
      <c r="D160" t="s">
        <v>19</v>
      </c>
      <c r="E160">
        <v>140.1</v>
      </c>
      <c r="F160">
        <v>112.1</v>
      </c>
      <c r="G160">
        <v>140.1</v>
      </c>
      <c r="H160">
        <v>112.1</v>
      </c>
      <c r="I160">
        <v>140.1</v>
      </c>
      <c r="J160">
        <v>112.1</v>
      </c>
    </row>
    <row r="161" spans="1:10">
      <c r="A161" t="s">
        <v>336</v>
      </c>
      <c r="B161" t="s">
        <v>337</v>
      </c>
      <c r="C161" t="s">
        <v>19</v>
      </c>
      <c r="D161" t="s">
        <v>19</v>
      </c>
      <c r="E161">
        <v>206.9</v>
      </c>
      <c r="F161">
        <v>309</v>
      </c>
      <c r="G161" t="s">
        <v>19</v>
      </c>
      <c r="H161">
        <v>309</v>
      </c>
      <c r="I161">
        <v>206.9</v>
      </c>
      <c r="J161">
        <v>309</v>
      </c>
    </row>
    <row r="162" spans="1:10">
      <c r="A162" t="s">
        <v>338</v>
      </c>
      <c r="B162" t="s">
        <v>339</v>
      </c>
      <c r="C162">
        <v>40.700000000000003</v>
      </c>
      <c r="D162">
        <v>37.4</v>
      </c>
      <c r="E162">
        <v>40.700000000000003</v>
      </c>
      <c r="F162">
        <v>37.4</v>
      </c>
      <c r="G162">
        <v>41.9</v>
      </c>
      <c r="H162">
        <v>38.700000000000003</v>
      </c>
      <c r="I162">
        <v>41.9</v>
      </c>
      <c r="J162">
        <v>38.700000000000003</v>
      </c>
    </row>
    <row r="163" spans="1:10">
      <c r="A163" t="s">
        <v>340</v>
      </c>
      <c r="B163" t="s">
        <v>341</v>
      </c>
      <c r="C163">
        <v>2404.3000000000002</v>
      </c>
      <c r="D163" t="s">
        <v>19</v>
      </c>
      <c r="E163">
        <v>2404.3000000000002</v>
      </c>
      <c r="F163">
        <v>2404.3000000000002</v>
      </c>
      <c r="G163">
        <v>3251.2</v>
      </c>
      <c r="H163" t="s">
        <v>19</v>
      </c>
      <c r="I163">
        <v>3251.2</v>
      </c>
      <c r="J163">
        <v>3251.2</v>
      </c>
    </row>
    <row r="164" spans="1:10">
      <c r="A164" t="s">
        <v>342</v>
      </c>
      <c r="B164" t="s">
        <v>343</v>
      </c>
      <c r="C164" t="s">
        <v>19</v>
      </c>
      <c r="D164" t="s">
        <v>19</v>
      </c>
      <c r="E164">
        <v>184.2</v>
      </c>
      <c r="F164">
        <v>353.8</v>
      </c>
      <c r="G164" t="s">
        <v>19</v>
      </c>
      <c r="H164">
        <v>353.8</v>
      </c>
      <c r="I164">
        <v>184.2</v>
      </c>
      <c r="J164">
        <v>353.8</v>
      </c>
    </row>
    <row r="165" spans="1:10">
      <c r="A165" t="s">
        <v>344</v>
      </c>
      <c r="B165" t="s">
        <v>345</v>
      </c>
      <c r="C165" t="s">
        <v>19</v>
      </c>
      <c r="D165" t="s">
        <v>19</v>
      </c>
      <c r="E165">
        <v>0</v>
      </c>
      <c r="F165">
        <v>0</v>
      </c>
      <c r="G165">
        <v>0</v>
      </c>
      <c r="H165" t="s">
        <v>19</v>
      </c>
      <c r="I165">
        <v>0</v>
      </c>
      <c r="J165">
        <v>0</v>
      </c>
    </row>
    <row r="166" spans="1:10">
      <c r="A166" t="s">
        <v>346</v>
      </c>
      <c r="B166" t="s">
        <v>347</v>
      </c>
      <c r="C166" t="s">
        <v>19</v>
      </c>
      <c r="D166" t="s">
        <v>19</v>
      </c>
      <c r="E166">
        <v>0.7</v>
      </c>
      <c r="F166">
        <v>0.7</v>
      </c>
      <c r="G166">
        <v>0.7</v>
      </c>
      <c r="H166" t="s">
        <v>19</v>
      </c>
      <c r="I166">
        <v>0.7</v>
      </c>
      <c r="J166">
        <v>0.7</v>
      </c>
    </row>
    <row r="167" spans="1:10">
      <c r="A167" t="s">
        <v>348</v>
      </c>
      <c r="B167" t="s">
        <v>349</v>
      </c>
      <c r="C167" t="s">
        <v>19</v>
      </c>
      <c r="D167" t="s">
        <v>19</v>
      </c>
      <c r="E167">
        <v>378.7</v>
      </c>
      <c r="F167">
        <v>310.7</v>
      </c>
      <c r="G167" t="s">
        <v>19</v>
      </c>
      <c r="H167">
        <v>310.7</v>
      </c>
      <c r="I167">
        <v>378.7</v>
      </c>
      <c r="J167">
        <v>310.7</v>
      </c>
    </row>
    <row r="168" spans="1:10">
      <c r="A168" t="s">
        <v>350</v>
      </c>
      <c r="B168" t="s">
        <v>351</v>
      </c>
      <c r="C168" t="s">
        <v>19</v>
      </c>
      <c r="D168" t="s">
        <v>19</v>
      </c>
      <c r="E168">
        <v>781.6</v>
      </c>
      <c r="F168">
        <v>524.20000000000005</v>
      </c>
      <c r="G168">
        <v>781.6</v>
      </c>
      <c r="H168">
        <v>524.20000000000005</v>
      </c>
      <c r="I168">
        <v>781.6</v>
      </c>
      <c r="J168">
        <v>524.20000000000005</v>
      </c>
    </row>
    <row r="169" spans="1:10">
      <c r="A169" t="s">
        <v>352</v>
      </c>
      <c r="B169" t="s">
        <v>353</v>
      </c>
      <c r="C169" t="s">
        <v>19</v>
      </c>
      <c r="D169" t="s">
        <v>19</v>
      </c>
      <c r="E169">
        <v>0.7</v>
      </c>
      <c r="F169">
        <v>0.7</v>
      </c>
      <c r="G169" t="s">
        <v>19</v>
      </c>
      <c r="H169" t="s">
        <v>19</v>
      </c>
      <c r="I169">
        <v>0.7</v>
      </c>
      <c r="J169">
        <v>0.7</v>
      </c>
    </row>
    <row r="170" spans="1:10">
      <c r="A170" t="s">
        <v>354</v>
      </c>
      <c r="B170" t="s">
        <v>355</v>
      </c>
      <c r="C170" t="s">
        <v>19</v>
      </c>
      <c r="D170" t="s">
        <v>19</v>
      </c>
      <c r="E170">
        <v>0.7</v>
      </c>
      <c r="F170">
        <v>0.3</v>
      </c>
      <c r="G170" t="s">
        <v>19</v>
      </c>
      <c r="H170">
        <v>0.3</v>
      </c>
      <c r="I170">
        <v>0.7</v>
      </c>
      <c r="J170">
        <v>0.3</v>
      </c>
    </row>
    <row r="171" spans="1:10">
      <c r="A171" t="s">
        <v>356</v>
      </c>
      <c r="B171" t="s">
        <v>357</v>
      </c>
      <c r="C171" t="s">
        <v>19</v>
      </c>
      <c r="D171" t="s">
        <v>19</v>
      </c>
      <c r="E171">
        <v>55.4</v>
      </c>
      <c r="F171">
        <v>55.4</v>
      </c>
      <c r="G171" t="s">
        <v>19</v>
      </c>
      <c r="H171" t="s">
        <v>19</v>
      </c>
      <c r="I171">
        <v>55.4</v>
      </c>
      <c r="J171">
        <v>55.4</v>
      </c>
    </row>
    <row r="172" spans="1:10">
      <c r="A172" t="s">
        <v>358</v>
      </c>
      <c r="B172" t="s">
        <v>359</v>
      </c>
      <c r="C172" t="s">
        <v>19</v>
      </c>
      <c r="D172" t="s">
        <v>19</v>
      </c>
      <c r="E172">
        <v>430.7</v>
      </c>
      <c r="F172">
        <v>385</v>
      </c>
      <c r="G172" t="s">
        <v>19</v>
      </c>
      <c r="H172">
        <v>385</v>
      </c>
      <c r="I172">
        <v>430.7</v>
      </c>
      <c r="J172">
        <v>385</v>
      </c>
    </row>
    <row r="173" spans="1:10">
      <c r="A173" t="s">
        <v>360</v>
      </c>
      <c r="B173" t="s">
        <v>361</v>
      </c>
      <c r="C173" t="s">
        <v>19</v>
      </c>
      <c r="D173">
        <v>51</v>
      </c>
      <c r="E173">
        <v>81.3</v>
      </c>
      <c r="F173">
        <v>51</v>
      </c>
      <c r="G173" t="s">
        <v>19</v>
      </c>
      <c r="H173">
        <v>51</v>
      </c>
      <c r="I173">
        <v>72.5</v>
      </c>
      <c r="J173">
        <v>51</v>
      </c>
    </row>
    <row r="174" spans="1:10">
      <c r="A174" t="s">
        <v>362</v>
      </c>
      <c r="B174" t="s">
        <v>363</v>
      </c>
      <c r="C174" t="s">
        <v>19</v>
      </c>
      <c r="D174">
        <v>73.8</v>
      </c>
      <c r="E174">
        <v>125.8</v>
      </c>
      <c r="F174">
        <v>73.8</v>
      </c>
      <c r="G174" t="s">
        <v>19</v>
      </c>
      <c r="H174">
        <v>44.7</v>
      </c>
      <c r="I174">
        <v>75.400000000000006</v>
      </c>
      <c r="J174">
        <v>44.7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889d872-e2a2-4afb-87bc-97561eced75f" xsi:nil="true"/>
    <_ip_UnifiedCompliancePolicyProperties xmlns="http://schemas.microsoft.com/sharepoint/v3" xsi:nil="true"/>
    <access xmlns="c9df191c-55f2-496b-9838-9a5abe4742ad" xsi:nil="true"/>
    <lcf76f155ced4ddcb4097134ff3c332f xmlns="c9df191c-55f2-496b-9838-9a5abe4742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90DC6317597479C114DD4E6AB1F33" ma:contentTypeVersion="21" ma:contentTypeDescription="Create a new document." ma:contentTypeScope="" ma:versionID="919433a813904c3aa8bf81e3ee70cd7f">
  <xsd:schema xmlns:xsd="http://www.w3.org/2001/XMLSchema" xmlns:xs="http://www.w3.org/2001/XMLSchema" xmlns:p="http://schemas.microsoft.com/office/2006/metadata/properties" xmlns:ns1="http://schemas.microsoft.com/sharepoint/v3" xmlns:ns2="7889d872-e2a2-4afb-87bc-97561eced75f" xmlns:ns3="c9df191c-55f2-496b-9838-9a5abe4742ad" targetNamespace="http://schemas.microsoft.com/office/2006/metadata/properties" ma:root="true" ma:fieldsID="50d042222011fa69b41b2ee21c081c49" ns1:_="" ns2:_="" ns3:_="">
    <xsd:import namespace="http://schemas.microsoft.com/sharepoint/v3"/>
    <xsd:import namespace="7889d872-e2a2-4afb-87bc-97561eced75f"/>
    <xsd:import namespace="c9df191c-55f2-496b-9838-9a5abe474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acces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9d872-e2a2-4afb-87bc-97561eced7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c6ca6f77-677a-4af5-91c4-60d888ef8b33}" ma:internalName="TaxCatchAll" ma:showField="CatchAllData" ma:web="7889d872-e2a2-4afb-87bc-97561eced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f191c-55f2-496b-9838-9a5abe474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cess" ma:index="22" nillable="true" ma:displayName="access" ma:internalName="access">
      <xsd:simpleType>
        <xsd:restriction base="dms:Text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ddb06df0-9a10-4f13-b01c-4547ef3a4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B2B02-063F-46E6-89AD-939324EDD4A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889d872-e2a2-4afb-87bc-97561eced75f"/>
    <ds:schemaRef ds:uri="c9df191c-55f2-496b-9838-9a5abe4742ad"/>
  </ds:schemaRefs>
</ds:datastoreItem>
</file>

<file path=customXml/itemProps2.xml><?xml version="1.0" encoding="utf-8"?>
<ds:datastoreItem xmlns:ds="http://schemas.openxmlformats.org/officeDocument/2006/customXml" ds:itemID="{F3DEECA9-1089-4690-8794-A18CC41DF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89d872-e2a2-4afb-87bc-97561eced75f"/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F1D8D8-6F8E-4909-9C89-BF6103607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Mengpin Ge</dc:creator>
  <cp:keywords/>
  <dc:description/>
  <cp:lastModifiedBy>Javier Rojas</cp:lastModifiedBy>
  <cp:revision/>
  <dcterms:created xsi:type="dcterms:W3CDTF">2025-05-30T15:09:02Z</dcterms:created>
  <dcterms:modified xsi:type="dcterms:W3CDTF">2025-08-15T04:26:01Z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